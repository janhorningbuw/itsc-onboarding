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T:\Dez4\Abt 4.3\SG_4.3.4\Granger Hilfskräfte\"/>
    </mc:Choice>
  </mc:AlternateContent>
  <xr:revisionPtr revIDLastSave="0" documentId="13_ncr:1_{50CD8023-13C3-48CF-84C2-8FF3F861F6FB}" xr6:coauthVersionLast="47" xr6:coauthVersionMax="47" xr10:uidLastSave="{00000000-0000-0000-0000-000000000000}"/>
  <workbookProtection workbookAlgorithmName="SHA-512" workbookHashValue="F2iPhknbTsmyoOsKWe4nU+P/VsOSXZoYzpBOMGjPEU1FgqFq2gD5ojHc+S6O+BSsWWXC1fM7hm8IoSdIZ2hGog==" workbookSaltValue="zAtSgYCS2x9blY4BHyWtnw==" workbookSpinCount="100000" lockStructure="1"/>
  <bookViews>
    <workbookView xWindow="-120" yWindow="-120" windowWidth="29040" windowHeight="17520" xr2:uid="{55D0589C-EC17-534E-9606-F538CF732C32}"/>
  </bookViews>
  <sheets>
    <sheet name="Information" sheetId="3" r:id="rId1"/>
    <sheet name="Erfassung der Arbeitszei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9" i="2" l="1"/>
  <c r="G39" i="2"/>
  <c r="G42" i="2"/>
  <c r="A13" i="2" l="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R1" i="2"/>
  <c r="A43" i="2" l="1"/>
  <c r="A42" i="2"/>
  <c r="A41" i="2"/>
  <c r="R5" i="2" l="1"/>
  <c r="G15" i="2"/>
  <c r="E46" i="2"/>
  <c r="E45" i="2"/>
  <c r="G43" i="2"/>
  <c r="H43" i="2" s="1"/>
  <c r="B43" i="2"/>
  <c r="H42" i="2"/>
  <c r="B42" i="2"/>
  <c r="F42" i="2" s="1"/>
  <c r="G41" i="2"/>
  <c r="H41" i="2" s="1"/>
  <c r="B41" i="2"/>
  <c r="G40" i="2"/>
  <c r="H40" i="2" s="1"/>
  <c r="B40" i="2"/>
  <c r="H39" i="2"/>
  <c r="B39" i="2"/>
  <c r="F39" i="2" s="1"/>
  <c r="G38" i="2"/>
  <c r="H38" i="2" s="1"/>
  <c r="B38" i="2"/>
  <c r="F38" i="2" s="1"/>
  <c r="B37" i="2"/>
  <c r="F37" i="2" s="1"/>
  <c r="B36" i="2"/>
  <c r="F36" i="2" s="1"/>
  <c r="B35" i="2"/>
  <c r="F35" i="2" s="1"/>
  <c r="G34" i="2"/>
  <c r="H34" i="2" s="1"/>
  <c r="B34" i="2"/>
  <c r="F34" i="2" s="1"/>
  <c r="G33" i="2"/>
  <c r="H33" i="2" s="1"/>
  <c r="B33" i="2"/>
  <c r="G32" i="2"/>
  <c r="H32" i="2" s="1"/>
  <c r="B32" i="2"/>
  <c r="G31" i="2"/>
  <c r="H31" i="2" s="1"/>
  <c r="B31" i="2"/>
  <c r="F31" i="2" s="1"/>
  <c r="G30" i="2"/>
  <c r="H30" i="2" s="1"/>
  <c r="B30" i="2"/>
  <c r="B29" i="2"/>
  <c r="F29" i="2" s="1"/>
  <c r="B28" i="2"/>
  <c r="G27" i="2"/>
  <c r="H27" i="2" s="1"/>
  <c r="B27" i="2"/>
  <c r="G26" i="2"/>
  <c r="B26" i="2"/>
  <c r="F26" i="2" s="1"/>
  <c r="G25" i="2"/>
  <c r="H25" i="2" s="1"/>
  <c r="B25" i="2"/>
  <c r="B24" i="2"/>
  <c r="B23" i="2"/>
  <c r="G22" i="2"/>
  <c r="H22" i="2" s="1"/>
  <c r="B22" i="2"/>
  <c r="F22" i="2" s="1"/>
  <c r="B21" i="2"/>
  <c r="F21" i="2" s="1"/>
  <c r="G20" i="2"/>
  <c r="H20" i="2" s="1"/>
  <c r="B20" i="2"/>
  <c r="F20" i="2" s="1"/>
  <c r="G19" i="2"/>
  <c r="B19" i="2"/>
  <c r="G18" i="2"/>
  <c r="H18" i="2" s="1"/>
  <c r="B18" i="2"/>
  <c r="F18" i="2" s="1"/>
  <c r="G17" i="2"/>
  <c r="H17" i="2" s="1"/>
  <c r="B17" i="2"/>
  <c r="F17" i="2" s="1"/>
  <c r="G16" i="2"/>
  <c r="H16" i="2" s="1"/>
  <c r="B16" i="2"/>
  <c r="B15" i="2"/>
  <c r="F15" i="2" s="1"/>
  <c r="G14" i="2"/>
  <c r="H14" i="2" s="1"/>
  <c r="B14" i="2"/>
  <c r="G13" i="2"/>
  <c r="B13" i="2"/>
  <c r="F13" i="2" s="1"/>
  <c r="F14" i="2" l="1"/>
  <c r="I14" i="2" s="1"/>
  <c r="G23" i="2"/>
  <c r="H23" i="2" s="1"/>
  <c r="F23" i="2"/>
  <c r="G28" i="2"/>
  <c r="H28" i="2" s="1"/>
  <c r="F28" i="2"/>
  <c r="F33" i="2"/>
  <c r="I33" i="2" s="1"/>
  <c r="G24" i="2"/>
  <c r="H24" i="2" s="1"/>
  <c r="F24" i="2"/>
  <c r="F43" i="2"/>
  <c r="I43" i="2" s="1"/>
  <c r="F19" i="2"/>
  <c r="I19" i="2" s="1"/>
  <c r="F25" i="2"/>
  <c r="I25" i="2" s="1"/>
  <c r="F30" i="2"/>
  <c r="I30" i="2" s="1"/>
  <c r="F16" i="2"/>
  <c r="I16" i="2" s="1"/>
  <c r="F40" i="2"/>
  <c r="I40" i="2" s="1"/>
  <c r="F41" i="2"/>
  <c r="I41" i="2" s="1"/>
  <c r="F27" i="2"/>
  <c r="I27" i="2" s="1"/>
  <c r="F32" i="2"/>
  <c r="I32" i="2" s="1"/>
  <c r="I31" i="2"/>
  <c r="I38" i="2"/>
  <c r="I22" i="2"/>
  <c r="I17" i="2"/>
  <c r="I18" i="2"/>
  <c r="I42" i="2"/>
  <c r="I39" i="2"/>
  <c r="I34" i="2"/>
  <c r="I20" i="2"/>
  <c r="G21" i="2"/>
  <c r="H21" i="2" s="1"/>
  <c r="I21" i="2"/>
  <c r="G29" i="2"/>
  <c r="H29" i="2" s="1"/>
  <c r="G36" i="2"/>
  <c r="H36" i="2" s="1"/>
  <c r="I36" i="2" s="1"/>
  <c r="G35" i="2"/>
  <c r="H35" i="2" s="1"/>
  <c r="I35" i="2"/>
  <c r="G37" i="2"/>
  <c r="H37" i="2" s="1"/>
  <c r="I37" i="2"/>
  <c r="H26" i="2"/>
  <c r="I26" i="2"/>
  <c r="H19" i="2"/>
  <c r="H15" i="2"/>
  <c r="I15" i="2" s="1"/>
  <c r="H13" i="2"/>
  <c r="I13" i="2" s="1"/>
  <c r="J13" i="2" s="1"/>
  <c r="I24" i="2" l="1"/>
  <c r="I23" i="2"/>
  <c r="J14" i="2"/>
  <c r="J15" i="2" s="1"/>
  <c r="J16" i="2" s="1"/>
  <c r="J17" i="2" s="1"/>
  <c r="J18" i="2" s="1"/>
  <c r="F46" i="2"/>
  <c r="H46" i="2"/>
  <c r="I28" i="2"/>
  <c r="I29" i="2"/>
  <c r="G46" i="2"/>
  <c r="J19" i="2" l="1"/>
  <c r="J20" i="2" s="1"/>
  <c r="J21" i="2" s="1"/>
  <c r="J22" i="2" s="1"/>
  <c r="J23" i="2" s="1"/>
  <c r="J24" i="2" s="1"/>
  <c r="J25" i="2" s="1"/>
  <c r="J26" i="2" s="1"/>
  <c r="J27" i="2" s="1"/>
  <c r="J28" i="2" s="1"/>
  <c r="J29" i="2" s="1"/>
  <c r="J30" i="2" s="1"/>
  <c r="J31" i="2" s="1"/>
  <c r="J32" i="2" s="1"/>
  <c r="J33" i="2" s="1"/>
  <c r="J34" i="2" s="1"/>
  <c r="J35" i="2" s="1"/>
  <c r="J36" i="2" s="1"/>
  <c r="J37" i="2" s="1"/>
  <c r="J38" i="2" s="1"/>
  <c r="J39" i="2" s="1"/>
  <c r="J40" i="2" s="1"/>
  <c r="J41" i="2" s="1"/>
  <c r="J42" i="2" s="1"/>
  <c r="J43" i="2" s="1"/>
  <c r="J46" i="2" l="1"/>
</calcChain>
</file>

<file path=xl/sharedStrings.xml><?xml version="1.0" encoding="utf-8"?>
<sst xmlns="http://schemas.openxmlformats.org/spreadsheetml/2006/main" count="43" uniqueCount="36">
  <si>
    <t>Mo</t>
  </si>
  <si>
    <t>Di</t>
  </si>
  <si>
    <t>Mi</t>
  </si>
  <si>
    <t>Do</t>
  </si>
  <si>
    <t>Fr</t>
  </si>
  <si>
    <t>Sa</t>
  </si>
  <si>
    <t>So</t>
  </si>
  <si>
    <t>Sollzeit</t>
  </si>
  <si>
    <t>Pausenabzug</t>
  </si>
  <si>
    <t>Tagessaldo</t>
  </si>
  <si>
    <t>Saldo</t>
  </si>
  <si>
    <t>krank</t>
  </si>
  <si>
    <t>WE</t>
  </si>
  <si>
    <t>Urlaub</t>
  </si>
  <si>
    <t>Organisationseinheit:</t>
  </si>
  <si>
    <t>Name, Vorname:</t>
  </si>
  <si>
    <r>
      <t xml:space="preserve">Abwesenheit
</t>
    </r>
    <r>
      <rPr>
        <sz val="10"/>
        <color theme="1"/>
        <rFont val="Arial"/>
        <family val="2"/>
      </rPr>
      <t>(Urlaub, Feiertag oder krank)</t>
    </r>
  </si>
  <si>
    <t>Monat:</t>
  </si>
  <si>
    <t>Jahr:</t>
  </si>
  <si>
    <t>Datum:</t>
  </si>
  <si>
    <t>Feiertag</t>
  </si>
  <si>
    <t>Arbeitszeiterfassung (SHK/WHF/WHK)</t>
  </si>
  <si>
    <t>Unterschrift der Hilfskraft:</t>
  </si>
  <si>
    <t>Unterschrift des*der Vorgesetzten:</t>
  </si>
  <si>
    <t>Arbeitszeit pro Tag:</t>
  </si>
  <si>
    <t>Soll/Woche</t>
  </si>
  <si>
    <r>
      <t xml:space="preserve">bis
</t>
    </r>
    <r>
      <rPr>
        <sz val="10"/>
        <color theme="1"/>
        <rFont val="Arial"/>
        <family val="2"/>
      </rPr>
      <t>(hh:mm)</t>
    </r>
  </si>
  <si>
    <r>
      <t xml:space="preserve">von
</t>
    </r>
    <r>
      <rPr>
        <sz val="10"/>
        <color theme="1"/>
        <rFont val="Arial"/>
        <family val="2"/>
      </rPr>
      <t>(hh:mm)</t>
    </r>
  </si>
  <si>
    <t>anwesend</t>
  </si>
  <si>
    <t>(hh:mm)</t>
  </si>
  <si>
    <t xml:space="preserve">anwesend
</t>
  </si>
  <si>
    <t>Wochenarbeitszeit laut Arbeitsvertrag:</t>
  </si>
  <si>
    <t>Stand des Formulars: 24.02.2026</t>
  </si>
  <si>
    <t>:  5</t>
  </si>
  <si>
    <t>=</t>
  </si>
  <si>
    <t>(dezimal)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</si>
</sst>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h:mm;@"/>
    <numFmt numFmtId="165" formatCode="0.00_ ;[Red]\-0.00\ "/>
    <numFmt numFmtId="166" formatCode="0_ ;[Red]\-0\ "/>
    <numFmt numFmtId="167" formatCode="0.00;[Red]0.00"/>
  </numFmts>
  <fonts count="15" x14ac:knownFonts="1">
    <font>
      <sz val="12"/>
      <color theme="1"/>
      <name val="Aptos Narrow"/>
      <family val="2"/>
      <scheme val="minor"/>
    </font>
    <font>
      <sz val="11"/>
      <color theme="1"/>
      <name val="Aptos Narrow"/>
      <family val="2"/>
      <scheme val="minor"/>
    </font>
    <font>
      <sz val="12"/>
      <color theme="1"/>
      <name val="Arial"/>
      <family val="2"/>
    </font>
    <font>
      <b/>
      <sz val="12"/>
      <color theme="1"/>
      <name val="Arial"/>
      <family val="2"/>
    </font>
    <font>
      <sz val="10"/>
      <color theme="1"/>
      <name val="Arial"/>
      <family val="2"/>
    </font>
    <font>
      <sz val="12"/>
      <color rgb="FF000000"/>
      <name val="Arial"/>
      <family val="2"/>
    </font>
    <font>
      <sz val="6"/>
      <name val="Arial"/>
      <family val="2"/>
    </font>
    <font>
      <sz val="10"/>
      <name val="Arial"/>
      <family val="2"/>
    </font>
    <font>
      <sz val="9"/>
      <name val="Arial"/>
      <family val="2"/>
    </font>
    <font>
      <sz val="12"/>
      <name val="Arial"/>
      <family val="2"/>
    </font>
    <font>
      <sz val="10"/>
      <color theme="0"/>
      <name val="Arial"/>
      <family val="2"/>
    </font>
    <font>
      <sz val="9"/>
      <color theme="0"/>
      <name val="Arial"/>
      <family val="2"/>
    </font>
    <font>
      <b/>
      <sz val="18"/>
      <color theme="1"/>
      <name val="Arial"/>
      <family val="2"/>
    </font>
    <font>
      <b/>
      <sz val="14"/>
      <color theme="1"/>
      <name val="Aptos Narrow"/>
      <family val="2"/>
      <scheme val="minor"/>
    </font>
    <font>
      <sz val="9"/>
      <color theme="1"/>
      <name val="Arial"/>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2" fillId="2" borderId="2" xfId="0" applyFont="1" applyFill="1" applyBorder="1" applyProtection="1">
      <protection locked="0"/>
    </xf>
    <xf numFmtId="20" fontId="2" fillId="2" borderId="2" xfId="0" applyNumberFormat="1" applyFont="1" applyFill="1" applyBorder="1" applyProtection="1">
      <protection locked="0"/>
    </xf>
    <xf numFmtId="167" fontId="7" fillId="0" borderId="0" xfId="0" applyNumberFormat="1" applyFont="1" applyAlignment="1" applyProtection="1">
      <alignment horizontal="left"/>
    </xf>
    <xf numFmtId="0" fontId="4" fillId="0" borderId="0" xfId="0" applyFont="1" applyProtection="1"/>
    <xf numFmtId="0" fontId="7" fillId="0" borderId="0" xfId="0" applyFont="1" applyProtection="1"/>
    <xf numFmtId="0" fontId="9" fillId="0" borderId="0" xfId="0" applyFont="1" applyAlignment="1" applyProtection="1">
      <alignment horizontal="right"/>
    </xf>
    <xf numFmtId="14" fontId="9" fillId="0" borderId="0" xfId="0" applyNumberFormat="1" applyFont="1" applyProtection="1"/>
    <xf numFmtId="0" fontId="2" fillId="0" borderId="0" xfId="0" applyFont="1" applyProtection="1"/>
    <xf numFmtId="167" fontId="6" fillId="0" borderId="0" xfId="0" applyNumberFormat="1" applyFont="1" applyAlignment="1" applyProtection="1">
      <alignment horizontal="left"/>
    </xf>
    <xf numFmtId="0" fontId="12" fillId="0" borderId="0" xfId="0" applyFont="1" applyProtection="1"/>
    <xf numFmtId="0" fontId="8" fillId="0" borderId="0" xfId="0" applyFont="1" applyAlignment="1" applyProtection="1">
      <alignment horizontal="right"/>
    </xf>
    <xf numFmtId="14" fontId="8" fillId="0" borderId="0" xfId="0" applyNumberFormat="1" applyFont="1" applyProtection="1"/>
    <xf numFmtId="0" fontId="3" fillId="0" borderId="0" xfId="0" applyFont="1" applyProtection="1"/>
    <xf numFmtId="0" fontId="2" fillId="0" borderId="2" xfId="0" applyFont="1" applyBorder="1" applyProtection="1"/>
    <xf numFmtId="2" fontId="3" fillId="0" borderId="0" xfId="0" applyNumberFormat="1" applyFont="1" applyProtection="1"/>
    <xf numFmtId="20" fontId="2" fillId="0" borderId="0" xfId="0" applyNumberFormat="1" applyFont="1" applyProtection="1"/>
    <xf numFmtId="20" fontId="3" fillId="0" borderId="0" xfId="0" applyNumberFormat="1" applyFont="1" applyBorder="1" applyProtection="1"/>
    <xf numFmtId="0" fontId="2" fillId="0" borderId="0" xfId="0" applyFont="1" applyBorder="1" applyProtection="1"/>
    <xf numFmtId="0" fontId="2" fillId="0" borderId="0" xfId="0" applyFont="1" applyFill="1" applyBorder="1" applyProtection="1"/>
    <xf numFmtId="0" fontId="2" fillId="0" borderId="0" xfId="0" applyFont="1" applyFill="1" applyBorder="1" applyAlignment="1" applyProtection="1">
      <alignment horizontal="right"/>
    </xf>
    <xf numFmtId="0" fontId="2" fillId="0" borderId="0" xfId="0" applyFont="1" applyFill="1" applyBorder="1" applyAlignment="1" applyProtection="1">
      <alignment horizontal="center"/>
    </xf>
    <xf numFmtId="0" fontId="2" fillId="0" borderId="0" xfId="0" applyFont="1" applyAlignment="1" applyProtection="1">
      <alignment horizontal="center"/>
    </xf>
    <xf numFmtId="20" fontId="2" fillId="0" borderId="0" xfId="0" applyNumberFormat="1" applyFont="1" applyFill="1" applyBorder="1" applyProtection="1"/>
    <xf numFmtId="166" fontId="2" fillId="0" borderId="0" xfId="0" applyNumberFormat="1" applyFont="1" applyFill="1" applyBorder="1" applyAlignment="1" applyProtection="1">
      <alignment horizontal="center"/>
    </xf>
    <xf numFmtId="0" fontId="13" fillId="0" borderId="0" xfId="0" applyFont="1" applyBorder="1" applyAlignment="1" applyProtection="1">
      <alignment vertical="center"/>
    </xf>
    <xf numFmtId="0" fontId="3" fillId="0" borderId="2" xfId="0" applyFont="1" applyBorder="1" applyAlignment="1" applyProtection="1">
      <alignment vertical="top"/>
    </xf>
    <xf numFmtId="0" fontId="3" fillId="0" borderId="2" xfId="0" applyFont="1" applyBorder="1" applyAlignment="1" applyProtection="1">
      <alignment vertical="top" wrapText="1"/>
    </xf>
    <xf numFmtId="0" fontId="1" fillId="0" borderId="0" xfId="0" applyFont="1" applyFill="1" applyBorder="1" applyAlignment="1" applyProtection="1">
      <alignment vertical="center" wrapText="1"/>
    </xf>
    <xf numFmtId="14" fontId="2" fillId="0" borderId="2" xfId="0" applyNumberFormat="1" applyFont="1" applyBorder="1" applyProtection="1"/>
    <xf numFmtId="164" fontId="2" fillId="0" borderId="2" xfId="0" applyNumberFormat="1" applyFont="1" applyBorder="1" applyAlignment="1" applyProtection="1">
      <alignment horizontal="center"/>
    </xf>
    <xf numFmtId="20" fontId="2" fillId="0" borderId="2" xfId="0" applyNumberFormat="1" applyFont="1" applyBorder="1" applyAlignment="1" applyProtection="1">
      <alignment horizontal="center"/>
    </xf>
    <xf numFmtId="165" fontId="2" fillId="0" borderId="2" xfId="0" applyNumberFormat="1" applyFont="1" applyBorder="1" applyAlignment="1" applyProtection="1">
      <alignment horizontal="center"/>
    </xf>
    <xf numFmtId="1" fontId="0" fillId="0" borderId="0" xfId="0" applyNumberFormat="1" applyFill="1" applyBorder="1" applyAlignment="1" applyProtection="1">
      <alignment horizontal="center" vertical="center"/>
    </xf>
    <xf numFmtId="2" fontId="8" fillId="0" borderId="0" xfId="0" applyNumberFormat="1" applyFont="1" applyProtection="1"/>
    <xf numFmtId="0" fontId="10" fillId="0" borderId="0" xfId="0" applyFont="1" applyProtection="1"/>
    <xf numFmtId="2" fontId="11" fillId="0" borderId="0" xfId="0" applyNumberFormat="1" applyFont="1" applyProtection="1"/>
    <xf numFmtId="0" fontId="0" fillId="0" borderId="0" xfId="0" applyFill="1" applyBorder="1" applyAlignment="1" applyProtection="1">
      <alignment horizontal="center" vertical="center"/>
    </xf>
    <xf numFmtId="167" fontId="11" fillId="0" borderId="0" xfId="0" applyNumberFormat="1" applyFont="1" applyProtection="1"/>
    <xf numFmtId="167" fontId="8" fillId="0" borderId="0" xfId="0" applyNumberFormat="1" applyFont="1" applyProtection="1"/>
    <xf numFmtId="0" fontId="3" fillId="0" borderId="2" xfId="0" applyFont="1" applyBorder="1" applyProtection="1"/>
    <xf numFmtId="0" fontId="3" fillId="0" borderId="2" xfId="0" applyFont="1" applyBorder="1" applyAlignment="1" applyProtection="1">
      <alignment horizontal="left"/>
    </xf>
    <xf numFmtId="164" fontId="3" fillId="0" borderId="2" xfId="0" applyNumberFormat="1" applyFont="1" applyBorder="1" applyAlignment="1" applyProtection="1">
      <alignment horizontal="center"/>
    </xf>
    <xf numFmtId="0" fontId="3" fillId="0" borderId="2" xfId="0" applyFont="1" applyBorder="1" applyAlignment="1" applyProtection="1">
      <alignment horizontal="center"/>
    </xf>
    <xf numFmtId="165" fontId="3" fillId="0" borderId="2" xfId="0" applyNumberFormat="1" applyFont="1" applyBorder="1" applyAlignment="1" applyProtection="1">
      <alignment horizontal="center"/>
    </xf>
    <xf numFmtId="2" fontId="3" fillId="0" borderId="2" xfId="0" applyNumberFormat="1" applyFont="1" applyBorder="1" applyAlignment="1" applyProtection="1">
      <alignment horizontal="center"/>
    </xf>
    <xf numFmtId="0" fontId="5" fillId="0" borderId="0" xfId="0" applyFont="1" applyProtection="1"/>
    <xf numFmtId="0" fontId="3" fillId="0" borderId="0" xfId="0" applyFont="1" applyBorder="1" applyProtection="1"/>
    <xf numFmtId="0" fontId="2" fillId="0" borderId="0" xfId="0" applyFont="1" applyBorder="1" applyAlignment="1" applyProtection="1">
      <alignment horizontal="right"/>
    </xf>
    <xf numFmtId="20" fontId="2" fillId="0" borderId="0" xfId="0" applyNumberFormat="1" applyFont="1" applyBorder="1" applyProtection="1"/>
    <xf numFmtId="166" fontId="2" fillId="0" borderId="0" xfId="0" applyNumberFormat="1" applyFont="1" applyBorder="1" applyAlignment="1" applyProtection="1">
      <alignment horizontal="center"/>
    </xf>
    <xf numFmtId="0" fontId="2" fillId="0" borderId="0" xfId="0" applyFont="1" applyAlignment="1" applyProtection="1">
      <alignment horizontal="right"/>
    </xf>
    <xf numFmtId="0" fontId="2" fillId="0" borderId="1" xfId="0" applyFont="1" applyBorder="1" applyProtection="1"/>
    <xf numFmtId="2" fontId="9" fillId="0" borderId="1" xfId="0" applyNumberFormat="1" applyFont="1" applyBorder="1" applyProtection="1"/>
    <xf numFmtId="0" fontId="9" fillId="0" borderId="1" xfId="0" applyFont="1" applyBorder="1" applyProtection="1"/>
    <xf numFmtId="0" fontId="2" fillId="2" borderId="0" xfId="0" applyFont="1" applyFill="1" applyAlignment="1" applyProtection="1">
      <alignment horizontal="center"/>
      <protection locked="0"/>
    </xf>
    <xf numFmtId="0" fontId="3" fillId="0" borderId="0" xfId="0" applyFont="1" applyFill="1" applyBorder="1" applyAlignment="1" applyProtection="1">
      <alignment horizontal="center"/>
    </xf>
    <xf numFmtId="0" fontId="2" fillId="2" borderId="0" xfId="0" applyFont="1" applyFill="1" applyAlignment="1" applyProtection="1">
      <alignment horizontal="left"/>
      <protection locked="0"/>
    </xf>
    <xf numFmtId="1" fontId="2" fillId="0" borderId="0" xfId="0" applyNumberFormat="1" applyFont="1" applyFill="1" applyBorder="1" applyAlignment="1" applyProtection="1">
      <alignment horizontal="center" vertical="center"/>
    </xf>
    <xf numFmtId="1" fontId="3" fillId="0" borderId="0" xfId="0" applyNumberFormat="1" applyFont="1" applyFill="1" applyBorder="1" applyAlignment="1" applyProtection="1">
      <alignment horizontal="left" vertical="center"/>
    </xf>
    <xf numFmtId="0" fontId="2" fillId="0" borderId="0" xfId="0" applyFont="1" applyFill="1" applyBorder="1" applyAlignment="1" applyProtection="1">
      <alignment horizontal="center" vertical="center"/>
    </xf>
    <xf numFmtId="1" fontId="14" fillId="0" borderId="0" xfId="0" applyNumberFormat="1" applyFont="1" applyFill="1" applyBorder="1" applyAlignment="1" applyProtection="1">
      <alignment horizontal="center" vertical="center"/>
    </xf>
    <xf numFmtId="20" fontId="3" fillId="0" borderId="2" xfId="0" applyNumberFormat="1" applyFont="1" applyFill="1" applyBorder="1" applyAlignment="1" applyProtection="1">
      <alignment horizontal="center" vertical="center"/>
    </xf>
    <xf numFmtId="0" fontId="4" fillId="0" borderId="0" xfId="0" applyFont="1" applyAlignment="1" applyProtection="1">
      <alignment horizontal="center"/>
    </xf>
    <xf numFmtId="20" fontId="2" fillId="2" borderId="2" xfId="0" applyNumberFormat="1" applyFont="1" applyFill="1" applyBorder="1" applyAlignment="1" applyProtection="1">
      <alignment horizontal="center" vertical="center"/>
      <protection locked="0"/>
    </xf>
  </cellXfs>
  <cellStyles count="1">
    <cellStyle name="Standard" xfId="0" builtinId="0"/>
  </cellStyles>
  <dxfs count="5">
    <dxf>
      <font>
        <color theme="0"/>
      </font>
    </dxf>
    <dxf>
      <font>
        <color theme="0" tint="-0.24994659260841701"/>
      </font>
    </dxf>
    <dxf>
      <font>
        <color theme="0"/>
      </font>
    </dxf>
    <dxf>
      <font>
        <color theme="2" tint="-9.9948118533890809E-2"/>
      </font>
    </dxf>
    <dxf>
      <font>
        <color theme="2" tint="-9.9948118533890809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dez4.uni-wuppertal.de/de/abt-43/sgb-434-wissenschaftliche-und-studentische-hilfskraefte-und-lehrbeauftragungen/arbeitszeiterfassung/"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7</xdr:col>
      <xdr:colOff>601980</xdr:colOff>
      <xdr:row>19</xdr:row>
      <xdr:rowOff>144780</xdr:rowOff>
    </xdr:to>
    <xdr:sp macro="" textlink="">
      <xdr:nvSpPr>
        <xdr:cNvPr id="3" name="Textfeld 2">
          <a:hlinkClick xmlns:r="http://schemas.openxmlformats.org/officeDocument/2006/relationships" r:id="rId1"/>
          <a:extLst>
            <a:ext uri="{FF2B5EF4-FFF2-40B4-BE49-F238E27FC236}">
              <a16:creationId xmlns:a16="http://schemas.microsoft.com/office/drawing/2014/main" id="{5C194AB7-EF38-4C4B-8443-6EA63DDD2F87}"/>
            </a:ext>
          </a:extLst>
        </xdr:cNvPr>
        <xdr:cNvSpPr txBox="1"/>
      </xdr:nvSpPr>
      <xdr:spPr>
        <a:xfrm>
          <a:off x="853440" y="3566160"/>
          <a:ext cx="57226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200">
              <a:latin typeface="Arial" panose="020B0604020202020204" pitchFamily="34" charset="0"/>
              <a:cs typeface="Arial" panose="020B0604020202020204" pitchFamily="34" charset="0"/>
            </a:rPr>
            <a:t>Diese Excel-Datei finden Sie auch auf der </a:t>
          </a:r>
          <a:r>
            <a:rPr lang="de-DE" sz="1200" u="sng">
              <a:latin typeface="Arial" panose="020B0604020202020204" pitchFamily="34" charset="0"/>
              <a:cs typeface="Arial" panose="020B0604020202020204" pitchFamily="34" charset="0"/>
            </a:rPr>
            <a:t>Homepage des Sachgebiets 4.3.4</a:t>
          </a:r>
          <a:r>
            <a:rPr lang="de-DE" sz="1200">
              <a:latin typeface="Arial" panose="020B0604020202020204" pitchFamily="34" charset="0"/>
              <a:cs typeface="Arial" panose="020B0604020202020204" pitchFamily="34" charset="0"/>
            </a:rPr>
            <a:t>.</a:t>
          </a:r>
        </a:p>
        <a:p>
          <a:endParaRPr lang="de-DE" sz="1200">
            <a:latin typeface="Arial" panose="020B0604020202020204" pitchFamily="34" charset="0"/>
            <a:cs typeface="Arial" panose="020B0604020202020204" pitchFamily="34" charset="0"/>
          </a:endParaRPr>
        </a:p>
      </xdr:txBody>
    </xdr:sp>
    <xdr:clientData/>
  </xdr:twoCellAnchor>
  <xdr:twoCellAnchor>
    <xdr:from>
      <xdr:col>1</xdr:col>
      <xdr:colOff>0</xdr:colOff>
      <xdr:row>0</xdr:row>
      <xdr:rowOff>0</xdr:rowOff>
    </xdr:from>
    <xdr:to>
      <xdr:col>14</xdr:col>
      <xdr:colOff>7620</xdr:colOff>
      <xdr:row>18</xdr:row>
      <xdr:rowOff>15240</xdr:rowOff>
    </xdr:to>
    <xdr:sp macro="" textlink="">
      <xdr:nvSpPr>
        <xdr:cNvPr id="5" name="Textfeld 4">
          <a:extLst>
            <a:ext uri="{FF2B5EF4-FFF2-40B4-BE49-F238E27FC236}">
              <a16:creationId xmlns:a16="http://schemas.microsoft.com/office/drawing/2014/main" id="{B573AE93-9A17-4ED0-BBC5-1CDD7B03D524}"/>
            </a:ext>
          </a:extLst>
        </xdr:cNvPr>
        <xdr:cNvSpPr txBox="1"/>
      </xdr:nvSpPr>
      <xdr:spPr>
        <a:xfrm>
          <a:off x="853440" y="0"/>
          <a:ext cx="11102340" cy="3581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400" b="1">
              <a:latin typeface="Arial" panose="020B0604020202020204" pitchFamily="34" charset="0"/>
              <a:cs typeface="Arial" panose="020B0604020202020204" pitchFamily="34" charset="0"/>
            </a:rPr>
            <a:t>Hinweise zur Pflicht zur Erfassung der Arbeitszeit</a:t>
          </a:r>
          <a:r>
            <a:rPr lang="de-DE" sz="1400" b="1" baseline="0">
              <a:latin typeface="Arial" panose="020B0604020202020204" pitchFamily="34" charset="0"/>
              <a:cs typeface="Arial" panose="020B0604020202020204" pitchFamily="34" charset="0"/>
            </a:rPr>
            <a:t> </a:t>
          </a:r>
          <a:endParaRPr lang="de-DE" sz="1400" b="1">
            <a:latin typeface="Arial" panose="020B0604020202020204" pitchFamily="34" charset="0"/>
            <a:cs typeface="Arial" panose="020B0604020202020204" pitchFamily="34" charset="0"/>
          </a:endParaRPr>
        </a:p>
        <a:p>
          <a:endParaRPr lang="de-DE" sz="1200">
            <a:latin typeface="Arial" panose="020B0604020202020204" pitchFamily="34" charset="0"/>
            <a:cs typeface="Arial" panose="020B0604020202020204" pitchFamily="34" charset="0"/>
          </a:endParaRPr>
        </a:p>
        <a:p>
          <a:r>
            <a:rPr lang="de-DE" sz="1200">
              <a:latin typeface="Arial" panose="020B0604020202020204" pitchFamily="34" charset="0"/>
              <a:cs typeface="Arial" panose="020B0604020202020204" pitchFamily="34" charset="0"/>
            </a:rPr>
            <a:t>Seit dem 01.01.2015 hat jede*r Arbeitnehmer*in einen Anspruch auf Zahlung eines Mindestlohns (§ 1 Mindestlohngesetz - MiLoG -).</a:t>
          </a:r>
        </a:p>
        <a:p>
          <a:endParaRPr lang="de-DE" sz="1200">
            <a:latin typeface="Arial" panose="020B0604020202020204" pitchFamily="34" charset="0"/>
            <a:cs typeface="Arial" panose="020B0604020202020204" pitchFamily="34" charset="0"/>
          </a:endParaRPr>
        </a:p>
        <a:p>
          <a:r>
            <a:rPr lang="de-DE" sz="1200">
              <a:latin typeface="Arial" panose="020B0604020202020204" pitchFamily="34" charset="0"/>
              <a:cs typeface="Arial" panose="020B0604020202020204" pitchFamily="34" charset="0"/>
            </a:rPr>
            <a:t>Um die korrekte Zahlung dieses Mindestlohns zu überprüfen, ist gemäß § 17 MiLoG ein Arbeitgeber, der geringfügig Beschäftigte einstellt, verpflichtet, Beginn, Ende und Dauer der täglichen Arbeitszeit dieser Beschäftigten spätestens bis zum Ablauf des siebten auf den Tag der Arbeitsaufnahme folgenden Kalendertages aufzeichnen zu lassen.</a:t>
          </a:r>
        </a:p>
        <a:p>
          <a:endParaRPr lang="de-DE" sz="1200">
            <a:latin typeface="Arial" panose="020B0604020202020204" pitchFamily="34" charset="0"/>
            <a:cs typeface="Arial" panose="020B0604020202020204" pitchFamily="34" charset="0"/>
          </a:endParaRPr>
        </a:p>
        <a:p>
          <a:r>
            <a:rPr lang="de-DE" sz="1200">
              <a:latin typeface="Arial" panose="020B0604020202020204" pitchFamily="34" charset="0"/>
              <a:cs typeface="Arial" panose="020B0604020202020204" pitchFamily="34" charset="0"/>
            </a:rPr>
            <a:t>Um dieser gesetzlichen Pflicht nachkommen zu können, sind Sie als Hilfskraft ab jetzt verpflichtet, Ihre Arbeitszeiten </a:t>
          </a:r>
          <a:r>
            <a:rPr lang="de-DE" sz="1200" b="1">
              <a:latin typeface="Arial" panose="020B0604020202020204" pitchFamily="34" charset="0"/>
              <a:cs typeface="Arial" panose="020B0604020202020204" pitchFamily="34" charset="0"/>
            </a:rPr>
            <a:t>auf dem nächsten</a:t>
          </a:r>
          <a:r>
            <a:rPr lang="de-DE" sz="1200" b="1" baseline="0">
              <a:latin typeface="Arial" panose="020B0604020202020204" pitchFamily="34" charset="0"/>
              <a:cs typeface="Arial" panose="020B0604020202020204" pitchFamily="34" charset="0"/>
            </a:rPr>
            <a:t> Tabellenblatt ("Erfassung der Arbeitszeit") </a:t>
          </a:r>
          <a:r>
            <a:rPr lang="de-DE" sz="1200" baseline="0">
              <a:latin typeface="Arial" panose="020B0604020202020204" pitchFamily="34" charset="0"/>
              <a:cs typeface="Arial" panose="020B0604020202020204" pitchFamily="34" charset="0"/>
            </a:rPr>
            <a:t>dieser Excel-Datei </a:t>
          </a:r>
          <a:r>
            <a:rPr lang="de-DE" sz="1200">
              <a:latin typeface="Arial" panose="020B0604020202020204" pitchFamily="34" charset="0"/>
              <a:cs typeface="Arial" panose="020B0604020202020204" pitchFamily="34" charset="0"/>
            </a:rPr>
            <a:t>zu erfassen. Auch Arbeitstage, an denen Sie krank sind, Urlaub haben oder an denen ein Feiertag ist, müssen entsprechend vermerkt werden. Diese Tage müssen nicht nachgearbeitet werden. Befüllbar sind</a:t>
          </a:r>
          <a:r>
            <a:rPr lang="de-DE" sz="1200" baseline="0">
              <a:latin typeface="Arial" panose="020B0604020202020204" pitchFamily="34" charset="0"/>
              <a:cs typeface="Arial" panose="020B0604020202020204" pitchFamily="34" charset="0"/>
            </a:rPr>
            <a:t> nur die grauen Felder. </a:t>
          </a:r>
          <a:endParaRPr lang="de-DE" sz="1200">
            <a:latin typeface="Arial" panose="020B0604020202020204" pitchFamily="34" charset="0"/>
            <a:cs typeface="Arial" panose="020B0604020202020204" pitchFamily="34" charset="0"/>
          </a:endParaRPr>
        </a:p>
        <a:p>
          <a:endParaRPr lang="de-DE" sz="1200">
            <a:latin typeface="Arial" panose="020B0604020202020204" pitchFamily="34" charset="0"/>
            <a:cs typeface="Arial" panose="020B0604020202020204" pitchFamily="34" charset="0"/>
          </a:endParaRPr>
        </a:p>
        <a:p>
          <a:r>
            <a:rPr lang="de-DE" sz="1200">
              <a:latin typeface="Arial" panose="020B0604020202020204" pitchFamily="34" charset="0"/>
              <a:cs typeface="Arial" panose="020B0604020202020204" pitchFamily="34" charset="0"/>
            </a:rPr>
            <a:t>In jeder Woche müssen Sie auf die laut Vertrag geforderten Arbeitsstunden kommen. Sollten in einer Woche zu wenige oder zu viele Stunden gearbeitet worden sein, müssten Sie diese Stunden </a:t>
          </a:r>
          <a:r>
            <a:rPr lang="de-DE" sz="1200" b="1">
              <a:latin typeface="Arial" panose="020B0604020202020204" pitchFamily="34" charset="0"/>
              <a:cs typeface="Arial" panose="020B0604020202020204" pitchFamily="34" charset="0"/>
            </a:rPr>
            <a:t>bis zum Ende des jeweiligen Monats ausgeglichen </a:t>
          </a:r>
          <a:r>
            <a:rPr lang="de-DE" sz="1200">
              <a:latin typeface="Arial" panose="020B0604020202020204" pitchFamily="34" charset="0"/>
              <a:cs typeface="Arial" panose="020B0604020202020204" pitchFamily="34" charset="0"/>
            </a:rPr>
            <a:t>haben.</a:t>
          </a:r>
        </a:p>
        <a:p>
          <a:endParaRPr lang="de-DE" sz="1200">
            <a:latin typeface="Arial" panose="020B0604020202020204" pitchFamily="34" charset="0"/>
            <a:cs typeface="Arial" panose="020B0604020202020204" pitchFamily="34" charset="0"/>
          </a:endParaRPr>
        </a:p>
        <a:p>
          <a:r>
            <a:rPr lang="de-DE" sz="1200">
              <a:latin typeface="Arial" panose="020B0604020202020204" pitchFamily="34" charset="0"/>
              <a:cs typeface="Arial" panose="020B0604020202020204" pitchFamily="34" charset="0"/>
            </a:rPr>
            <a:t>Nach Ablauf von einem Monat bzw. immer bei Ablauf eines Vertrages (bei Ende vor einem Monatsende) müssen Sie das Tabellenblatt "Erfassung der Arbeitszeit" unterschrieben und von Ihrem*Ihrer Vorgesetzten abgezeichnet an das Dezernat 4.3.4 schicken. </a:t>
          </a:r>
        </a:p>
        <a:p>
          <a:r>
            <a:rPr lang="de-DE" sz="1200">
              <a:latin typeface="Arial" panose="020B0604020202020204" pitchFamily="34" charset="0"/>
              <a:cs typeface="Arial" panose="020B0604020202020204" pitchFamily="34" charset="0"/>
            </a:rPr>
            <a:t>(Eventuell hat der*die Dekan*in Ihrer Fakultät</a:t>
          </a:r>
          <a:r>
            <a:rPr lang="de-DE" sz="1200" baseline="0">
              <a:latin typeface="Arial" panose="020B0604020202020204" pitchFamily="34" charset="0"/>
              <a:cs typeface="Arial" panose="020B0604020202020204" pitchFamily="34" charset="0"/>
            </a:rPr>
            <a:t> bzw. der*die </a:t>
          </a:r>
          <a:r>
            <a:rPr lang="de-DE" sz="1200">
              <a:latin typeface="Arial" panose="020B0604020202020204" pitchFamily="34" charset="0"/>
              <a:cs typeface="Arial" panose="020B0604020202020204" pitchFamily="34" charset="0"/>
            </a:rPr>
            <a:t>Leiter*in Ihrer Zentralen Einrichtung eine andere Regelung für die Sammlung getroffen, diese erfahren Sie von Ihrem*r Vorgesetzten.)</a:t>
          </a:r>
          <a:r>
            <a:rPr lang="de-DE" sz="1200" baseline="0">
              <a:latin typeface="Arial" panose="020B0604020202020204" pitchFamily="34" charset="0"/>
              <a:cs typeface="Arial" panose="020B0604020202020204" pitchFamily="34" charset="0"/>
            </a:rPr>
            <a:t> </a:t>
          </a:r>
          <a:endParaRPr lang="de-DE" sz="12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6</xdr:row>
      <xdr:rowOff>200024</xdr:rowOff>
    </xdr:from>
    <xdr:to>
      <xdr:col>17</xdr:col>
      <xdr:colOff>9526</xdr:colOff>
      <xdr:row>13</xdr:row>
      <xdr:rowOff>180975</xdr:rowOff>
    </xdr:to>
    <xdr:sp macro="" textlink="">
      <xdr:nvSpPr>
        <xdr:cNvPr id="2" name="Textfeld 1">
          <a:extLst>
            <a:ext uri="{FF2B5EF4-FFF2-40B4-BE49-F238E27FC236}">
              <a16:creationId xmlns:a16="http://schemas.microsoft.com/office/drawing/2014/main" id="{7B0DF6E3-ED35-4034-A028-A366675A7A5D}"/>
            </a:ext>
          </a:extLst>
        </xdr:cNvPr>
        <xdr:cNvSpPr txBox="1"/>
      </xdr:nvSpPr>
      <xdr:spPr>
        <a:xfrm>
          <a:off x="9296400" y="1476374"/>
          <a:ext cx="2867026" cy="178117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latin typeface="Arial" panose="020B0604020202020204" pitchFamily="34" charset="0"/>
              <a:cs typeface="Arial" panose="020B0604020202020204" pitchFamily="34" charset="0"/>
            </a:rPr>
            <a:t>Bitte füllen Sie die Arbeitszeiten pro Tag aus, damit die Berechnung</a:t>
          </a:r>
          <a:r>
            <a:rPr lang="de-DE" sz="1100" baseline="0">
              <a:latin typeface="Arial" panose="020B0604020202020204" pitchFamily="34" charset="0"/>
              <a:cs typeface="Arial" panose="020B0604020202020204" pitchFamily="34" charset="0"/>
            </a:rPr>
            <a:t> in der </a:t>
          </a:r>
          <a:r>
            <a:rPr lang="de-DE" sz="1100">
              <a:latin typeface="Arial" panose="020B0604020202020204" pitchFamily="34" charset="0"/>
              <a:cs typeface="Arial" panose="020B0604020202020204" pitchFamily="34" charset="0"/>
            </a:rPr>
            <a:t>Tabelle erfolgt.</a:t>
          </a:r>
        </a:p>
        <a:p>
          <a:endParaRPr lang="de-DE" sz="1100">
            <a:latin typeface="Arial" panose="020B0604020202020204" pitchFamily="34" charset="0"/>
            <a:cs typeface="Arial" panose="020B0604020202020204" pitchFamily="34" charset="0"/>
          </a:endParaRPr>
        </a:p>
        <a:p>
          <a:r>
            <a:rPr lang="de-DE" sz="1100">
              <a:latin typeface="Arial" panose="020B0604020202020204" pitchFamily="34" charset="0"/>
              <a:cs typeface="Arial" panose="020B0604020202020204" pitchFamily="34" charset="0"/>
            </a:rPr>
            <a:t>Wenn Sie mit Ihrem*Ihrer Vorgesetzten keine</a:t>
          </a:r>
          <a:r>
            <a:rPr lang="de-DE" sz="1100" baseline="0">
              <a:latin typeface="Arial" panose="020B0604020202020204" pitchFamily="34" charset="0"/>
              <a:cs typeface="Arial" panose="020B0604020202020204" pitchFamily="34" charset="0"/>
            </a:rPr>
            <a:t> festen Arbeitstage vereinbart haben, tragen Sie bitte für Montag bis Freitag jeweils die durchschnittliche tägliche Arbeitszeit ein. Diese können Sie hier berechnen: </a:t>
          </a:r>
          <a:endParaRPr lang="de-DE" sz="1100">
            <a:latin typeface="Arial" panose="020B0604020202020204" pitchFamily="34" charset="0"/>
            <a:cs typeface="Arial" panose="020B0604020202020204" pitchFamily="34" charset="0"/>
          </a:endParaRPr>
        </a:p>
      </xdr:txBody>
    </xdr:sp>
    <xdr:clientData/>
  </xdr:twoCellAnchor>
  <xdr:twoCellAnchor>
    <xdr:from>
      <xdr:col>14</xdr:col>
      <xdr:colOff>4763</xdr:colOff>
      <xdr:row>5</xdr:row>
      <xdr:rowOff>38101</xdr:rowOff>
    </xdr:from>
    <xdr:to>
      <xdr:col>14</xdr:col>
      <xdr:colOff>9525</xdr:colOff>
      <xdr:row>6</xdr:row>
      <xdr:rowOff>200024</xdr:rowOff>
    </xdr:to>
    <xdr:cxnSp macro="">
      <xdr:nvCxnSpPr>
        <xdr:cNvPr id="4" name="Gerade Verbindung mit Pfeil 3">
          <a:extLst>
            <a:ext uri="{FF2B5EF4-FFF2-40B4-BE49-F238E27FC236}">
              <a16:creationId xmlns:a16="http://schemas.microsoft.com/office/drawing/2014/main" id="{2A32EBF0-BCB7-4D87-9BA6-008E076D0F24}"/>
            </a:ext>
          </a:extLst>
        </xdr:cNvPr>
        <xdr:cNvCxnSpPr>
          <a:stCxn id="2" idx="0"/>
        </xdr:cNvCxnSpPr>
      </xdr:nvCxnSpPr>
      <xdr:spPr>
        <a:xfrm flipV="1">
          <a:off x="10729913" y="1114426"/>
          <a:ext cx="4762" cy="361948"/>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A8D3-7B27-43E8-9BD0-5B48034F2C7A}">
  <dimension ref="A1"/>
  <sheetViews>
    <sheetView showGridLines="0" tabSelected="1" workbookViewId="0"/>
  </sheetViews>
  <sheetFormatPr baseColWidth="10" defaultRowHeight="15.75" x14ac:dyDescent="0.25"/>
  <sheetData/>
  <sheetProtection algorithmName="SHA-512" hashValue="CIWm0JC7B30wiSMRJ3U2nUlmqBGpf38P+5UrRuALZ8XFHRKfkVD9Y7IoYqid02aQ0ZwASN04uA/LfRzPT+DOPQ==" saltValue="h97RM+QgyhN1lVpvsPNa4Q==" spinCount="100000" sheet="1" objects="1" scenarios="1" selectLockedCells="1"/>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785B-7519-4E54-AEDF-4C76AB2C5E95}">
  <sheetPr>
    <pageSetUpPr fitToPage="1"/>
  </sheetPr>
  <dimension ref="A1:V51"/>
  <sheetViews>
    <sheetView workbookViewId="0">
      <selection activeCell="C4" sqref="C4:E4"/>
    </sheetView>
  </sheetViews>
  <sheetFormatPr baseColWidth="10" defaultColWidth="11" defaultRowHeight="15" x14ac:dyDescent="0.2"/>
  <cols>
    <col min="1" max="4" width="11" style="8"/>
    <col min="5" max="5" width="13.5" style="8" customWidth="1"/>
    <col min="6" max="6" width="10" style="8" customWidth="1"/>
    <col min="7" max="7" width="13.375" style="8" customWidth="1"/>
    <col min="8" max="8" width="14.625" style="8" customWidth="1"/>
    <col min="9" max="9" width="12.75" style="8" customWidth="1"/>
    <col min="10" max="10" width="7.5" style="8" customWidth="1"/>
    <col min="11" max="17" width="6.25" style="8" customWidth="1"/>
    <col min="18" max="19" width="11" style="8"/>
    <col min="20" max="22" width="0" style="8" hidden="1" customWidth="1"/>
    <col min="23" max="16384" width="11" style="8"/>
  </cols>
  <sheetData>
    <row r="1" spans="1:22" x14ac:dyDescent="0.2">
      <c r="A1" s="3" t="s">
        <v>32</v>
      </c>
      <c r="B1" s="4"/>
      <c r="C1" s="4"/>
      <c r="D1" s="4"/>
      <c r="E1" s="4"/>
      <c r="F1" s="4"/>
      <c r="G1" s="4"/>
      <c r="H1" s="4"/>
      <c r="I1" s="4"/>
      <c r="J1" s="4"/>
      <c r="K1" s="5"/>
      <c r="L1" s="5"/>
      <c r="M1" s="5"/>
      <c r="N1" s="5"/>
      <c r="O1" s="5"/>
      <c r="P1" s="5"/>
      <c r="Q1" s="6" t="s">
        <v>19</v>
      </c>
      <c r="R1" s="7">
        <f ca="1">TODAY()</f>
        <v>46077</v>
      </c>
    </row>
    <row r="2" spans="1:22" ht="23.25" x14ac:dyDescent="0.35">
      <c r="A2" s="9"/>
      <c r="B2" s="4"/>
      <c r="C2" s="4"/>
      <c r="E2" s="4"/>
      <c r="F2" s="10" t="s">
        <v>21</v>
      </c>
      <c r="G2" s="4"/>
      <c r="H2" s="4"/>
      <c r="I2" s="4"/>
      <c r="J2" s="4"/>
      <c r="K2" s="5"/>
      <c r="L2" s="5"/>
      <c r="M2" s="5"/>
      <c r="N2" s="5"/>
      <c r="O2" s="5"/>
      <c r="P2" s="5"/>
      <c r="Q2" s="11"/>
      <c r="R2" s="12"/>
    </row>
    <row r="3" spans="1:22" x14ac:dyDescent="0.2">
      <c r="A3" s="9"/>
      <c r="B3" s="4"/>
      <c r="C3" s="4"/>
      <c r="D3" s="4"/>
      <c r="E3" s="4"/>
      <c r="F3" s="4"/>
      <c r="G3" s="4"/>
      <c r="H3" s="4"/>
      <c r="I3" s="4"/>
      <c r="J3" s="4"/>
      <c r="K3" s="5"/>
      <c r="L3" s="5"/>
      <c r="M3" s="5"/>
      <c r="N3" s="5"/>
      <c r="O3" s="5"/>
      <c r="P3" s="5"/>
      <c r="Q3" s="11"/>
      <c r="R3" s="12"/>
    </row>
    <row r="4" spans="1:22" ht="15.75" x14ac:dyDescent="0.25">
      <c r="A4" s="13" t="s">
        <v>15</v>
      </c>
      <c r="C4" s="57"/>
      <c r="D4" s="57"/>
      <c r="E4" s="57"/>
      <c r="I4" s="13" t="s">
        <v>24</v>
      </c>
      <c r="K4" s="14" t="s">
        <v>0</v>
      </c>
      <c r="L4" s="14" t="s">
        <v>1</v>
      </c>
      <c r="M4" s="14" t="s">
        <v>2</v>
      </c>
      <c r="N4" s="14" t="s">
        <v>3</v>
      </c>
      <c r="O4" s="14" t="s">
        <v>4</v>
      </c>
      <c r="P4" s="14" t="s">
        <v>5</v>
      </c>
      <c r="Q4" s="14" t="s">
        <v>6</v>
      </c>
      <c r="R4" s="13" t="s">
        <v>25</v>
      </c>
    </row>
    <row r="5" spans="1:22" ht="15.75" x14ac:dyDescent="0.25">
      <c r="J5" s="4" t="s">
        <v>29</v>
      </c>
      <c r="K5" s="2"/>
      <c r="L5" s="2"/>
      <c r="M5" s="2"/>
      <c r="N5" s="2"/>
      <c r="O5" s="2"/>
      <c r="P5" s="14" t="s">
        <v>12</v>
      </c>
      <c r="Q5" s="14" t="s">
        <v>12</v>
      </c>
      <c r="R5" s="15">
        <f>SUM(K5:O5)*24</f>
        <v>0</v>
      </c>
    </row>
    <row r="6" spans="1:22" ht="15.75" x14ac:dyDescent="0.25">
      <c r="A6" s="13" t="s">
        <v>14</v>
      </c>
      <c r="C6" s="57"/>
      <c r="D6" s="57"/>
      <c r="E6" s="57"/>
      <c r="R6" s="63" t="s">
        <v>35</v>
      </c>
    </row>
    <row r="7" spans="1:22" ht="15.75" x14ac:dyDescent="0.25">
      <c r="E7" s="16"/>
      <c r="G7" s="17"/>
      <c r="H7" s="18"/>
      <c r="I7" s="18"/>
    </row>
    <row r="8" spans="1:22" ht="15.75" x14ac:dyDescent="0.25">
      <c r="A8" s="13" t="s">
        <v>17</v>
      </c>
      <c r="B8" s="55">
        <v>2</v>
      </c>
      <c r="E8" s="16"/>
      <c r="G8" s="19"/>
      <c r="H8" s="20"/>
      <c r="I8" s="21"/>
    </row>
    <row r="9" spans="1:22" ht="15.75" x14ac:dyDescent="0.25">
      <c r="A9" s="13"/>
      <c r="B9" s="22"/>
      <c r="E9" s="16"/>
      <c r="G9" s="19"/>
      <c r="H9" s="20"/>
      <c r="I9" s="21"/>
    </row>
    <row r="10" spans="1:22" ht="15.75" x14ac:dyDescent="0.25">
      <c r="A10" s="13" t="s">
        <v>18</v>
      </c>
      <c r="B10" s="55">
        <v>2026</v>
      </c>
      <c r="E10" s="16"/>
      <c r="G10" s="23"/>
      <c r="H10" s="20"/>
      <c r="I10" s="24"/>
    </row>
    <row r="11" spans="1:22" ht="18.75" x14ac:dyDescent="0.25">
      <c r="L11" s="56"/>
      <c r="M11" s="56"/>
      <c r="N11" s="56"/>
      <c r="O11" s="56"/>
      <c r="P11" s="56"/>
      <c r="Q11" s="56"/>
      <c r="R11" s="25"/>
    </row>
    <row r="12" spans="1:22" ht="44.25" customHeight="1" x14ac:dyDescent="0.2">
      <c r="A12" s="26"/>
      <c r="B12" s="26"/>
      <c r="C12" s="27" t="s">
        <v>27</v>
      </c>
      <c r="D12" s="27" t="s">
        <v>26</v>
      </c>
      <c r="E12" s="27" t="s">
        <v>16</v>
      </c>
      <c r="F12" s="26" t="s">
        <v>7</v>
      </c>
      <c r="G12" s="27" t="s">
        <v>30</v>
      </c>
      <c r="H12" s="26" t="s">
        <v>8</v>
      </c>
      <c r="I12" s="26" t="s">
        <v>9</v>
      </c>
      <c r="J12" s="26" t="s">
        <v>10</v>
      </c>
      <c r="L12" s="28"/>
      <c r="M12" s="28"/>
      <c r="N12" s="28"/>
      <c r="O12" s="28"/>
      <c r="P12" s="28"/>
      <c r="Q12" s="28"/>
    </row>
    <row r="13" spans="1:22" ht="15.75" x14ac:dyDescent="0.2">
      <c r="A13" s="29">
        <f>DATE(B10,B8,1)</f>
        <v>46054</v>
      </c>
      <c r="B13" s="14" t="str">
        <f>TEXT(A13,"TTT")</f>
        <v>So</v>
      </c>
      <c r="C13" s="2"/>
      <c r="D13" s="2"/>
      <c r="E13" s="1"/>
      <c r="F13" s="30" t="str">
        <f t="shared" ref="F13:F43" si="0">IFERROR(IF(E13&lt;&gt;"Feiertag",HLOOKUP(B13,K$4:Q$5,2,FALSE),"Feiertag"),0)</f>
        <v>WE</v>
      </c>
      <c r="G13" s="31">
        <f>IF(OR(E13="krank",E13="Urlaub"),F13,D13-C13)</f>
        <v>0</v>
      </c>
      <c r="H13" s="31">
        <f>IF(G13&gt;6/24,IF(G13&lt;6.5/24,G13-6/24,0.5/24),0)</f>
        <v>0</v>
      </c>
      <c r="I13" s="32">
        <f>IF(OR(F13="WE",E13="Urlaub",E13="krank",E13="Feiertag"),0,IF(C13&lt;&gt;"",(G13-F13-H13)*24,-F13*24))</f>
        <v>0</v>
      </c>
      <c r="J13" s="32">
        <f>I13</f>
        <v>0</v>
      </c>
      <c r="L13" s="33"/>
      <c r="M13" s="33"/>
      <c r="N13" s="33"/>
      <c r="O13" s="33"/>
      <c r="P13" s="33"/>
      <c r="Q13" s="33"/>
      <c r="U13" s="5">
        <v>2025</v>
      </c>
      <c r="V13" s="5">
        <v>1</v>
      </c>
    </row>
    <row r="14" spans="1:22" ht="15.75" x14ac:dyDescent="0.2">
      <c r="A14" s="29">
        <f>A13+1</f>
        <v>46055</v>
      </c>
      <c r="B14" s="14" t="str">
        <f t="shared" ref="B14:B42" si="1">TEXT(A14,"TTT")</f>
        <v>Mo</v>
      </c>
      <c r="C14" s="2"/>
      <c r="D14" s="2"/>
      <c r="E14" s="1"/>
      <c r="F14" s="30">
        <f t="shared" si="0"/>
        <v>0</v>
      </c>
      <c r="G14" s="31">
        <f>IF(OR(E14="krank",E14="Urlaub"),F14,D14-C14)</f>
        <v>0</v>
      </c>
      <c r="H14" s="31">
        <f>IF(G14&gt;6/24,IF(G14&lt;6.5/24,G14-6/24,0.5/24),0)</f>
        <v>0</v>
      </c>
      <c r="I14" s="32">
        <f t="shared" ref="I14:I43" si="2">IF(OR(F14="WE",E14="Urlaub",E14="krank",E14="Feiertag"),0,IF(C14&lt;&gt;"",(G14-F14-H14)*24,-F14*24))</f>
        <v>0</v>
      </c>
      <c r="J14" s="32">
        <f>I14+J13</f>
        <v>0</v>
      </c>
      <c r="L14" s="33"/>
      <c r="M14" s="33"/>
      <c r="N14" s="33"/>
      <c r="O14" s="33"/>
      <c r="P14" s="33"/>
      <c r="Q14" s="33"/>
      <c r="T14" s="34" t="s">
        <v>20</v>
      </c>
      <c r="U14" s="5">
        <v>2026</v>
      </c>
      <c r="V14" s="5">
        <v>2</v>
      </c>
    </row>
    <row r="15" spans="1:22" ht="15.75" x14ac:dyDescent="0.2">
      <c r="A15" s="29">
        <f t="shared" ref="A15:A40" si="3">A14+1</f>
        <v>46056</v>
      </c>
      <c r="B15" s="14" t="str">
        <f t="shared" si="1"/>
        <v>Di</v>
      </c>
      <c r="C15" s="2"/>
      <c r="D15" s="2"/>
      <c r="E15" s="1"/>
      <c r="F15" s="30">
        <f t="shared" si="0"/>
        <v>0</v>
      </c>
      <c r="G15" s="31">
        <f>IF(OR(E15="krank",E15="Urlaub"),F15,D15-C15)</f>
        <v>0</v>
      </c>
      <c r="H15" s="31">
        <f t="shared" ref="H15:H43" si="4">IF(G15&gt;6/24,IF(G15&lt;6.5/24,G15-6/24,0.5/24),0)</f>
        <v>0</v>
      </c>
      <c r="I15" s="32">
        <f t="shared" si="2"/>
        <v>0</v>
      </c>
      <c r="J15" s="32">
        <f t="shared" ref="J15:J40" si="5">I15+J14</f>
        <v>0</v>
      </c>
      <c r="L15" s="59" t="s">
        <v>31</v>
      </c>
      <c r="M15" s="33"/>
      <c r="N15" s="33"/>
      <c r="O15" s="33"/>
      <c r="P15" s="33"/>
      <c r="Q15" s="33"/>
      <c r="S15" s="34"/>
      <c r="T15" s="34" t="s">
        <v>13</v>
      </c>
      <c r="U15" s="5">
        <v>2027</v>
      </c>
      <c r="V15" s="5">
        <v>3</v>
      </c>
    </row>
    <row r="16" spans="1:22" x14ac:dyDescent="0.2">
      <c r="A16" s="29">
        <f t="shared" si="3"/>
        <v>46057</v>
      </c>
      <c r="B16" s="14" t="str">
        <f t="shared" si="1"/>
        <v>Mi</v>
      </c>
      <c r="C16" s="1"/>
      <c r="D16" s="1"/>
      <c r="E16" s="1"/>
      <c r="F16" s="30">
        <f t="shared" si="0"/>
        <v>0</v>
      </c>
      <c r="G16" s="31">
        <f t="shared" ref="G16:G43" si="6">IF(OR(E16="krank",E16="Urlaub"),F16,D16-C16)</f>
        <v>0</v>
      </c>
      <c r="H16" s="31">
        <f t="shared" si="4"/>
        <v>0</v>
      </c>
      <c r="I16" s="32">
        <f t="shared" si="2"/>
        <v>0</v>
      </c>
      <c r="J16" s="32">
        <f t="shared" si="5"/>
        <v>0</v>
      </c>
      <c r="L16" s="58"/>
      <c r="M16" s="58"/>
      <c r="N16" s="58"/>
      <c r="O16" s="58"/>
      <c r="P16" s="58"/>
      <c r="Q16" s="58"/>
      <c r="S16" s="34"/>
      <c r="T16" s="34" t="s">
        <v>11</v>
      </c>
      <c r="U16" s="5">
        <v>2028</v>
      </c>
      <c r="V16" s="5">
        <v>4</v>
      </c>
    </row>
    <row r="17" spans="1:22" x14ac:dyDescent="0.2">
      <c r="A17" s="29">
        <f t="shared" si="3"/>
        <v>46058</v>
      </c>
      <c r="B17" s="14" t="str">
        <f t="shared" si="1"/>
        <v>Do</v>
      </c>
      <c r="C17" s="2"/>
      <c r="D17" s="2"/>
      <c r="E17" s="1"/>
      <c r="F17" s="30">
        <f t="shared" si="0"/>
        <v>0</v>
      </c>
      <c r="G17" s="31">
        <f t="shared" si="6"/>
        <v>0</v>
      </c>
      <c r="H17" s="31">
        <f t="shared" si="4"/>
        <v>0</v>
      </c>
      <c r="I17" s="32">
        <f t="shared" si="2"/>
        <v>0</v>
      </c>
      <c r="J17" s="32">
        <f t="shared" si="5"/>
        <v>0</v>
      </c>
      <c r="L17" s="61" t="s">
        <v>29</v>
      </c>
      <c r="M17" s="64"/>
      <c r="N17" s="58" t="s">
        <v>33</v>
      </c>
      <c r="O17" s="58"/>
      <c r="P17" s="58"/>
      <c r="Q17" s="58"/>
      <c r="S17" s="34"/>
      <c r="T17" s="35"/>
      <c r="U17" s="5">
        <v>2029</v>
      </c>
      <c r="V17" s="5">
        <v>5</v>
      </c>
    </row>
    <row r="18" spans="1:22" x14ac:dyDescent="0.2">
      <c r="A18" s="29">
        <f t="shared" si="3"/>
        <v>46059</v>
      </c>
      <c r="B18" s="14" t="str">
        <f t="shared" si="1"/>
        <v>Fr</v>
      </c>
      <c r="C18" s="2"/>
      <c r="D18" s="2"/>
      <c r="E18" s="1"/>
      <c r="F18" s="30">
        <f t="shared" si="0"/>
        <v>0</v>
      </c>
      <c r="G18" s="31">
        <f t="shared" si="6"/>
        <v>0</v>
      </c>
      <c r="H18" s="31">
        <f t="shared" si="4"/>
        <v>0</v>
      </c>
      <c r="I18" s="32">
        <f t="shared" si="2"/>
        <v>0</v>
      </c>
      <c r="J18" s="32">
        <f t="shared" si="5"/>
        <v>0</v>
      </c>
      <c r="L18" s="58"/>
      <c r="M18" s="58"/>
      <c r="N18" s="58"/>
      <c r="O18" s="58"/>
      <c r="P18" s="58"/>
      <c r="Q18" s="58"/>
      <c r="S18" s="34"/>
      <c r="T18" s="35"/>
      <c r="U18" s="5">
        <v>2030</v>
      </c>
      <c r="V18" s="5">
        <v>6</v>
      </c>
    </row>
    <row r="19" spans="1:22" ht="15.75" x14ac:dyDescent="0.2">
      <c r="A19" s="29">
        <f t="shared" si="3"/>
        <v>46060</v>
      </c>
      <c r="B19" s="14" t="str">
        <f t="shared" si="1"/>
        <v>Sa</v>
      </c>
      <c r="C19" s="2"/>
      <c r="D19" s="2"/>
      <c r="E19" s="1"/>
      <c r="F19" s="30" t="str">
        <f t="shared" si="0"/>
        <v>WE</v>
      </c>
      <c r="G19" s="31">
        <f t="shared" si="6"/>
        <v>0</v>
      </c>
      <c r="H19" s="31">
        <f t="shared" si="4"/>
        <v>0</v>
      </c>
      <c r="I19" s="32">
        <f t="shared" si="2"/>
        <v>0</v>
      </c>
      <c r="J19" s="32">
        <f>I19+J18</f>
        <v>0</v>
      </c>
      <c r="L19" s="58" t="s">
        <v>34</v>
      </c>
      <c r="M19" s="62">
        <f>M17/5</f>
        <v>0</v>
      </c>
      <c r="N19" s="58"/>
      <c r="O19" s="58"/>
      <c r="P19" s="58"/>
      <c r="Q19" s="58"/>
      <c r="S19" s="36"/>
      <c r="T19" s="35"/>
      <c r="U19" s="5">
        <v>2031</v>
      </c>
      <c r="V19" s="5">
        <v>7</v>
      </c>
    </row>
    <row r="20" spans="1:22" x14ac:dyDescent="0.2">
      <c r="A20" s="29">
        <f t="shared" si="3"/>
        <v>46061</v>
      </c>
      <c r="B20" s="14" t="str">
        <f t="shared" si="1"/>
        <v>So</v>
      </c>
      <c r="C20" s="2"/>
      <c r="D20" s="2"/>
      <c r="E20" s="1"/>
      <c r="F20" s="30" t="str">
        <f t="shared" si="0"/>
        <v>WE</v>
      </c>
      <c r="G20" s="31">
        <f t="shared" si="6"/>
        <v>0</v>
      </c>
      <c r="H20" s="31">
        <f t="shared" si="4"/>
        <v>0</v>
      </c>
      <c r="I20" s="32">
        <f t="shared" si="2"/>
        <v>0</v>
      </c>
      <c r="J20" s="32">
        <f t="shared" si="5"/>
        <v>0</v>
      </c>
      <c r="L20" s="60"/>
      <c r="M20" s="58"/>
      <c r="N20" s="58"/>
      <c r="O20" s="58"/>
      <c r="P20" s="58"/>
      <c r="Q20" s="58"/>
      <c r="S20" s="36"/>
      <c r="T20" s="35"/>
      <c r="U20" s="5">
        <v>2032</v>
      </c>
      <c r="V20" s="5">
        <v>8</v>
      </c>
    </row>
    <row r="21" spans="1:22" x14ac:dyDescent="0.2">
      <c r="A21" s="29">
        <f t="shared" si="3"/>
        <v>46062</v>
      </c>
      <c r="B21" s="14" t="str">
        <f t="shared" si="1"/>
        <v>Mo</v>
      </c>
      <c r="C21" s="2"/>
      <c r="D21" s="2"/>
      <c r="E21" s="1"/>
      <c r="F21" s="30">
        <f t="shared" si="0"/>
        <v>0</v>
      </c>
      <c r="G21" s="31">
        <f t="shared" si="6"/>
        <v>0</v>
      </c>
      <c r="H21" s="31">
        <f t="shared" si="4"/>
        <v>0</v>
      </c>
      <c r="I21" s="32">
        <f t="shared" si="2"/>
        <v>0</v>
      </c>
      <c r="J21" s="32">
        <f t="shared" si="5"/>
        <v>0</v>
      </c>
      <c r="L21" s="60"/>
      <c r="M21" s="58"/>
      <c r="N21" s="58"/>
      <c r="O21" s="58"/>
      <c r="P21" s="58"/>
      <c r="Q21" s="58"/>
      <c r="S21" s="36"/>
      <c r="T21" s="35"/>
      <c r="U21" s="5">
        <v>2033</v>
      </c>
      <c r="V21" s="5">
        <v>9</v>
      </c>
    </row>
    <row r="22" spans="1:22" x14ac:dyDescent="0.2">
      <c r="A22" s="29">
        <f t="shared" si="3"/>
        <v>46063</v>
      </c>
      <c r="B22" s="14" t="str">
        <f t="shared" si="1"/>
        <v>Di</v>
      </c>
      <c r="C22" s="2"/>
      <c r="D22" s="2"/>
      <c r="E22" s="1"/>
      <c r="F22" s="30">
        <f t="shared" si="0"/>
        <v>0</v>
      </c>
      <c r="G22" s="31">
        <f>IF(OR(E22="krank",E22="Urlaub"),F22,D22-C22)</f>
        <v>0</v>
      </c>
      <c r="H22" s="31">
        <f t="shared" si="4"/>
        <v>0</v>
      </c>
      <c r="I22" s="32">
        <f>IF(OR(F22="WE",E22="Urlaub",E22="krank",E22="Feiertag"),0,IF(C22&lt;&gt;"",(G22-F22-H22)*24,-F22*24))</f>
        <v>0</v>
      </c>
      <c r="J22" s="32">
        <f t="shared" si="5"/>
        <v>0</v>
      </c>
      <c r="L22" s="60"/>
      <c r="M22" s="60"/>
      <c r="N22" s="58"/>
      <c r="O22" s="58"/>
      <c r="P22" s="58"/>
      <c r="Q22" s="58"/>
      <c r="S22" s="36"/>
      <c r="T22" s="35"/>
      <c r="U22" s="5">
        <v>2034</v>
      </c>
      <c r="V22" s="5">
        <v>10</v>
      </c>
    </row>
    <row r="23" spans="1:22" x14ac:dyDescent="0.2">
      <c r="A23" s="29">
        <f t="shared" si="3"/>
        <v>46064</v>
      </c>
      <c r="B23" s="14" t="str">
        <f t="shared" si="1"/>
        <v>Mi</v>
      </c>
      <c r="C23" s="2"/>
      <c r="D23" s="2"/>
      <c r="E23" s="1"/>
      <c r="F23" s="30">
        <f t="shared" si="0"/>
        <v>0</v>
      </c>
      <c r="G23" s="31">
        <f>IF(OR(E23="krank",E23="Urlaub"),F23,D23-C23)</f>
        <v>0</v>
      </c>
      <c r="H23" s="31">
        <f t="shared" si="4"/>
        <v>0</v>
      </c>
      <c r="I23" s="32">
        <f>IF(OR(F23="WE",E23="Urlaub",E23="krank",E23="Feiertag"),0,IF(C23&lt;&gt;"",(G23-F23-H23)*24,-F23*24))</f>
        <v>0</v>
      </c>
      <c r="J23" s="32">
        <f t="shared" si="5"/>
        <v>0</v>
      </c>
      <c r="L23" s="60"/>
      <c r="M23" s="58"/>
      <c r="N23" s="58"/>
      <c r="O23" s="58"/>
      <c r="P23" s="58"/>
      <c r="Q23" s="58"/>
      <c r="S23" s="36"/>
      <c r="T23" s="35"/>
      <c r="U23" s="5">
        <v>2035</v>
      </c>
      <c r="V23" s="5">
        <v>11</v>
      </c>
    </row>
    <row r="24" spans="1:22" ht="15.75" x14ac:dyDescent="0.2">
      <c r="A24" s="29">
        <f t="shared" si="3"/>
        <v>46065</v>
      </c>
      <c r="B24" s="14" t="str">
        <f t="shared" si="1"/>
        <v>Do</v>
      </c>
      <c r="C24" s="2"/>
      <c r="D24" s="2"/>
      <c r="E24" s="1"/>
      <c r="F24" s="30">
        <f t="shared" si="0"/>
        <v>0</v>
      </c>
      <c r="G24" s="31">
        <f t="shared" si="6"/>
        <v>0</v>
      </c>
      <c r="H24" s="31">
        <f t="shared" si="4"/>
        <v>0</v>
      </c>
      <c r="I24" s="32">
        <f t="shared" si="2"/>
        <v>0</v>
      </c>
      <c r="J24" s="32">
        <f t="shared" si="5"/>
        <v>0</v>
      </c>
      <c r="L24" s="37"/>
      <c r="M24" s="33"/>
      <c r="N24" s="33"/>
      <c r="O24" s="33"/>
      <c r="P24" s="33"/>
      <c r="Q24" s="33"/>
      <c r="S24" s="36"/>
      <c r="T24" s="35"/>
      <c r="U24" s="5">
        <v>2036</v>
      </c>
      <c r="V24" s="5">
        <v>12</v>
      </c>
    </row>
    <row r="25" spans="1:22" x14ac:dyDescent="0.2">
      <c r="A25" s="29">
        <f t="shared" si="3"/>
        <v>46066</v>
      </c>
      <c r="B25" s="14" t="str">
        <f t="shared" si="1"/>
        <v>Fr</v>
      </c>
      <c r="C25" s="2"/>
      <c r="D25" s="2"/>
      <c r="E25" s="1"/>
      <c r="F25" s="30">
        <f t="shared" si="0"/>
        <v>0</v>
      </c>
      <c r="G25" s="31">
        <f t="shared" si="6"/>
        <v>0</v>
      </c>
      <c r="H25" s="31">
        <f t="shared" si="4"/>
        <v>0</v>
      </c>
      <c r="I25" s="32">
        <f t="shared" si="2"/>
        <v>0</v>
      </c>
      <c r="J25" s="32">
        <f t="shared" si="5"/>
        <v>0</v>
      </c>
      <c r="S25" s="36"/>
      <c r="T25" s="35"/>
      <c r="U25" s="5">
        <v>2037</v>
      </c>
      <c r="V25" s="5"/>
    </row>
    <row r="26" spans="1:22" x14ac:dyDescent="0.2">
      <c r="A26" s="29">
        <f t="shared" si="3"/>
        <v>46067</v>
      </c>
      <c r="B26" s="14" t="str">
        <f t="shared" si="1"/>
        <v>Sa</v>
      </c>
      <c r="C26" s="2"/>
      <c r="D26" s="2"/>
      <c r="E26" s="1"/>
      <c r="F26" s="30" t="str">
        <f t="shared" si="0"/>
        <v>WE</v>
      </c>
      <c r="G26" s="31">
        <f t="shared" si="6"/>
        <v>0</v>
      </c>
      <c r="H26" s="31">
        <f t="shared" si="4"/>
        <v>0</v>
      </c>
      <c r="I26" s="32">
        <f t="shared" si="2"/>
        <v>0</v>
      </c>
      <c r="J26" s="32">
        <f t="shared" si="5"/>
        <v>0</v>
      </c>
      <c r="S26" s="36"/>
      <c r="T26" s="35"/>
      <c r="U26" s="5">
        <v>2038</v>
      </c>
      <c r="V26" s="5"/>
    </row>
    <row r="27" spans="1:22" x14ac:dyDescent="0.2">
      <c r="A27" s="29">
        <f t="shared" si="3"/>
        <v>46068</v>
      </c>
      <c r="B27" s="14" t="str">
        <f t="shared" si="1"/>
        <v>So</v>
      </c>
      <c r="C27" s="1"/>
      <c r="D27" s="1"/>
      <c r="E27" s="1"/>
      <c r="F27" s="30" t="str">
        <f t="shared" si="0"/>
        <v>WE</v>
      </c>
      <c r="G27" s="31">
        <f t="shared" si="6"/>
        <v>0</v>
      </c>
      <c r="H27" s="31">
        <f t="shared" si="4"/>
        <v>0</v>
      </c>
      <c r="I27" s="32">
        <f t="shared" si="2"/>
        <v>0</v>
      </c>
      <c r="J27" s="32">
        <f t="shared" si="5"/>
        <v>0</v>
      </c>
      <c r="S27" s="36"/>
      <c r="T27" s="35"/>
      <c r="U27" s="5">
        <v>2039</v>
      </c>
      <c r="V27" s="5"/>
    </row>
    <row r="28" spans="1:22" x14ac:dyDescent="0.2">
      <c r="A28" s="29">
        <f t="shared" si="3"/>
        <v>46069</v>
      </c>
      <c r="B28" s="14" t="str">
        <f t="shared" si="1"/>
        <v>Mo</v>
      </c>
      <c r="C28" s="2"/>
      <c r="D28" s="2"/>
      <c r="E28" s="1"/>
      <c r="F28" s="30">
        <f t="shared" si="0"/>
        <v>0</v>
      </c>
      <c r="G28" s="31">
        <f t="shared" si="6"/>
        <v>0</v>
      </c>
      <c r="H28" s="31">
        <f t="shared" si="4"/>
        <v>0</v>
      </c>
      <c r="I28" s="32">
        <f t="shared" si="2"/>
        <v>0</v>
      </c>
      <c r="J28" s="32">
        <f t="shared" si="5"/>
        <v>0</v>
      </c>
      <c r="S28" s="36"/>
      <c r="T28" s="35"/>
      <c r="U28" s="5">
        <v>2040</v>
      </c>
      <c r="V28" s="5"/>
    </row>
    <row r="29" spans="1:22" x14ac:dyDescent="0.2">
      <c r="A29" s="29">
        <f t="shared" si="3"/>
        <v>46070</v>
      </c>
      <c r="B29" s="14" t="str">
        <f t="shared" si="1"/>
        <v>Di</v>
      </c>
      <c r="C29" s="2"/>
      <c r="D29" s="2"/>
      <c r="E29" s="1"/>
      <c r="F29" s="30">
        <f t="shared" si="0"/>
        <v>0</v>
      </c>
      <c r="G29" s="31">
        <f t="shared" si="6"/>
        <v>0</v>
      </c>
      <c r="H29" s="31">
        <f t="shared" si="4"/>
        <v>0</v>
      </c>
      <c r="I29" s="32">
        <f t="shared" si="2"/>
        <v>0</v>
      </c>
      <c r="J29" s="32">
        <f t="shared" si="5"/>
        <v>0</v>
      </c>
      <c r="S29" s="36"/>
      <c r="T29" s="35"/>
      <c r="U29" s="5">
        <v>2041</v>
      </c>
      <c r="V29" s="5"/>
    </row>
    <row r="30" spans="1:22" x14ac:dyDescent="0.2">
      <c r="A30" s="29">
        <f t="shared" si="3"/>
        <v>46071</v>
      </c>
      <c r="B30" s="14" t="str">
        <f t="shared" si="1"/>
        <v>Mi</v>
      </c>
      <c r="C30" s="1"/>
      <c r="D30" s="1"/>
      <c r="E30" s="1"/>
      <c r="F30" s="30">
        <f t="shared" si="0"/>
        <v>0</v>
      </c>
      <c r="G30" s="31">
        <f t="shared" si="6"/>
        <v>0</v>
      </c>
      <c r="H30" s="31">
        <f t="shared" si="4"/>
        <v>0</v>
      </c>
      <c r="I30" s="32">
        <f t="shared" si="2"/>
        <v>0</v>
      </c>
      <c r="J30" s="32">
        <f t="shared" si="5"/>
        <v>0</v>
      </c>
      <c r="S30" s="36"/>
      <c r="T30" s="35"/>
      <c r="U30" s="5">
        <v>2042</v>
      </c>
      <c r="V30" s="5"/>
    </row>
    <row r="31" spans="1:22" x14ac:dyDescent="0.2">
      <c r="A31" s="29">
        <f t="shared" si="3"/>
        <v>46072</v>
      </c>
      <c r="B31" s="14" t="str">
        <f t="shared" si="1"/>
        <v>Do</v>
      </c>
      <c r="C31" s="2"/>
      <c r="D31" s="2"/>
      <c r="E31" s="1"/>
      <c r="F31" s="30">
        <f t="shared" si="0"/>
        <v>0</v>
      </c>
      <c r="G31" s="31">
        <f t="shared" si="6"/>
        <v>0</v>
      </c>
      <c r="H31" s="31">
        <f t="shared" si="4"/>
        <v>0</v>
      </c>
      <c r="I31" s="32">
        <f t="shared" si="2"/>
        <v>0</v>
      </c>
      <c r="J31" s="32">
        <f t="shared" si="5"/>
        <v>0</v>
      </c>
      <c r="S31" s="36"/>
      <c r="T31" s="35"/>
      <c r="U31" s="5">
        <v>2043</v>
      </c>
      <c r="V31" s="5"/>
    </row>
    <row r="32" spans="1:22" x14ac:dyDescent="0.2">
      <c r="A32" s="29">
        <f t="shared" si="3"/>
        <v>46073</v>
      </c>
      <c r="B32" s="14" t="str">
        <f t="shared" si="1"/>
        <v>Fr</v>
      </c>
      <c r="C32" s="2"/>
      <c r="D32" s="2"/>
      <c r="E32" s="1"/>
      <c r="F32" s="30">
        <f t="shared" si="0"/>
        <v>0</v>
      </c>
      <c r="G32" s="31">
        <f t="shared" si="6"/>
        <v>0</v>
      </c>
      <c r="H32" s="31">
        <f t="shared" si="4"/>
        <v>0</v>
      </c>
      <c r="I32" s="32">
        <f t="shared" si="2"/>
        <v>0</v>
      </c>
      <c r="J32" s="32">
        <f t="shared" si="5"/>
        <v>0</v>
      </c>
      <c r="S32" s="36"/>
      <c r="T32" s="35"/>
      <c r="U32" s="5">
        <v>2044</v>
      </c>
      <c r="V32" s="5"/>
    </row>
    <row r="33" spans="1:22" x14ac:dyDescent="0.2">
      <c r="A33" s="29">
        <f t="shared" si="3"/>
        <v>46074</v>
      </c>
      <c r="B33" s="14" t="str">
        <f t="shared" si="1"/>
        <v>Sa</v>
      </c>
      <c r="C33" s="1"/>
      <c r="D33" s="1"/>
      <c r="E33" s="1"/>
      <c r="F33" s="30" t="str">
        <f t="shared" si="0"/>
        <v>WE</v>
      </c>
      <c r="G33" s="31">
        <f t="shared" si="6"/>
        <v>0</v>
      </c>
      <c r="H33" s="31">
        <f t="shared" si="4"/>
        <v>0</v>
      </c>
      <c r="I33" s="32">
        <f t="shared" si="2"/>
        <v>0</v>
      </c>
      <c r="J33" s="32">
        <f t="shared" si="5"/>
        <v>0</v>
      </c>
      <c r="S33" s="36"/>
      <c r="T33" s="35"/>
      <c r="U33" s="5">
        <v>2045</v>
      </c>
      <c r="V33" s="5"/>
    </row>
    <row r="34" spans="1:22" x14ac:dyDescent="0.2">
      <c r="A34" s="29">
        <f t="shared" si="3"/>
        <v>46075</v>
      </c>
      <c r="B34" s="14" t="str">
        <f t="shared" si="1"/>
        <v>So</v>
      </c>
      <c r="C34" s="2"/>
      <c r="D34" s="2"/>
      <c r="E34" s="1"/>
      <c r="F34" s="30" t="str">
        <f t="shared" si="0"/>
        <v>WE</v>
      </c>
      <c r="G34" s="31">
        <f t="shared" si="6"/>
        <v>0</v>
      </c>
      <c r="H34" s="31">
        <f t="shared" si="4"/>
        <v>0</v>
      </c>
      <c r="I34" s="32">
        <f t="shared" si="2"/>
        <v>0</v>
      </c>
      <c r="J34" s="32">
        <f t="shared" si="5"/>
        <v>0</v>
      </c>
      <c r="S34" s="36"/>
      <c r="T34" s="35"/>
      <c r="U34" s="5">
        <v>2046</v>
      </c>
      <c r="V34" s="5"/>
    </row>
    <row r="35" spans="1:22" x14ac:dyDescent="0.2">
      <c r="A35" s="29">
        <f t="shared" si="3"/>
        <v>46076</v>
      </c>
      <c r="B35" s="14" t="str">
        <f t="shared" si="1"/>
        <v>Mo</v>
      </c>
      <c r="C35" s="1"/>
      <c r="D35" s="1"/>
      <c r="E35" s="1"/>
      <c r="F35" s="30">
        <f t="shared" si="0"/>
        <v>0</v>
      </c>
      <c r="G35" s="31">
        <f t="shared" si="6"/>
        <v>0</v>
      </c>
      <c r="H35" s="31">
        <f t="shared" si="4"/>
        <v>0</v>
      </c>
      <c r="I35" s="32">
        <f t="shared" si="2"/>
        <v>0</v>
      </c>
      <c r="J35" s="32">
        <f t="shared" si="5"/>
        <v>0</v>
      </c>
      <c r="S35" s="36"/>
      <c r="T35" s="35"/>
      <c r="U35" s="5">
        <v>2047</v>
      </c>
      <c r="V35" s="5"/>
    </row>
    <row r="36" spans="1:22" x14ac:dyDescent="0.2">
      <c r="A36" s="29">
        <f t="shared" si="3"/>
        <v>46077</v>
      </c>
      <c r="B36" s="14" t="str">
        <f t="shared" si="1"/>
        <v>Di</v>
      </c>
      <c r="C36" s="2"/>
      <c r="D36" s="2"/>
      <c r="E36" s="1"/>
      <c r="F36" s="30">
        <f t="shared" si="0"/>
        <v>0</v>
      </c>
      <c r="G36" s="31">
        <f t="shared" si="6"/>
        <v>0</v>
      </c>
      <c r="H36" s="31">
        <f t="shared" si="4"/>
        <v>0</v>
      </c>
      <c r="I36" s="32">
        <f t="shared" si="2"/>
        <v>0</v>
      </c>
      <c r="J36" s="32">
        <f t="shared" si="5"/>
        <v>0</v>
      </c>
      <c r="S36" s="36"/>
      <c r="T36" s="35"/>
      <c r="U36" s="5">
        <v>2048</v>
      </c>
      <c r="V36" s="5"/>
    </row>
    <row r="37" spans="1:22" x14ac:dyDescent="0.2">
      <c r="A37" s="29">
        <f t="shared" si="3"/>
        <v>46078</v>
      </c>
      <c r="B37" s="14" t="str">
        <f t="shared" si="1"/>
        <v>Mi</v>
      </c>
      <c r="C37" s="1"/>
      <c r="D37" s="1"/>
      <c r="E37" s="1"/>
      <c r="F37" s="30">
        <f t="shared" si="0"/>
        <v>0</v>
      </c>
      <c r="G37" s="31">
        <f t="shared" si="6"/>
        <v>0</v>
      </c>
      <c r="H37" s="31">
        <f t="shared" si="4"/>
        <v>0</v>
      </c>
      <c r="I37" s="32">
        <f t="shared" si="2"/>
        <v>0</v>
      </c>
      <c r="J37" s="32">
        <f t="shared" si="5"/>
        <v>0</v>
      </c>
      <c r="S37" s="36"/>
      <c r="T37" s="35"/>
      <c r="U37" s="5">
        <v>2049</v>
      </c>
      <c r="V37" s="5"/>
    </row>
    <row r="38" spans="1:22" x14ac:dyDescent="0.2">
      <c r="A38" s="29">
        <f t="shared" si="3"/>
        <v>46079</v>
      </c>
      <c r="B38" s="14" t="str">
        <f t="shared" si="1"/>
        <v>Do</v>
      </c>
      <c r="C38" s="2"/>
      <c r="D38" s="2"/>
      <c r="E38" s="1"/>
      <c r="F38" s="30">
        <f t="shared" si="0"/>
        <v>0</v>
      </c>
      <c r="G38" s="31">
        <f t="shared" si="6"/>
        <v>0</v>
      </c>
      <c r="H38" s="31">
        <f t="shared" si="4"/>
        <v>0</v>
      </c>
      <c r="I38" s="32">
        <f t="shared" si="2"/>
        <v>0</v>
      </c>
      <c r="J38" s="32">
        <f t="shared" si="5"/>
        <v>0</v>
      </c>
      <c r="S38" s="36"/>
      <c r="T38" s="35"/>
      <c r="U38" s="5">
        <v>2050</v>
      </c>
      <c r="V38" s="5"/>
    </row>
    <row r="39" spans="1:22" x14ac:dyDescent="0.2">
      <c r="A39" s="29">
        <f t="shared" si="3"/>
        <v>46080</v>
      </c>
      <c r="B39" s="14" t="str">
        <f t="shared" si="1"/>
        <v>Fr</v>
      </c>
      <c r="C39" s="2"/>
      <c r="D39" s="2"/>
      <c r="E39" s="1"/>
      <c r="F39" s="30">
        <f t="shared" si="0"/>
        <v>0</v>
      </c>
      <c r="G39" s="31">
        <f>IF(OR(E39="krank",E39="Urlaub"),F39,D39-C39)</f>
        <v>0</v>
      </c>
      <c r="H39" s="31">
        <f t="shared" si="4"/>
        <v>0</v>
      </c>
      <c r="I39" s="32">
        <f t="shared" si="2"/>
        <v>0</v>
      </c>
      <c r="J39" s="32">
        <f t="shared" si="5"/>
        <v>0</v>
      </c>
      <c r="S39" s="36"/>
      <c r="T39" s="35"/>
      <c r="U39" s="5">
        <v>2051</v>
      </c>
      <c r="V39" s="35"/>
    </row>
    <row r="40" spans="1:22" x14ac:dyDescent="0.2">
      <c r="A40" s="29">
        <f t="shared" si="3"/>
        <v>46081</v>
      </c>
      <c r="B40" s="14" t="str">
        <f t="shared" si="1"/>
        <v>Sa</v>
      </c>
      <c r="C40" s="2"/>
      <c r="D40" s="2"/>
      <c r="E40" s="1"/>
      <c r="F40" s="30" t="str">
        <f t="shared" si="0"/>
        <v>WE</v>
      </c>
      <c r="G40" s="31">
        <f t="shared" si="6"/>
        <v>0</v>
      </c>
      <c r="H40" s="31">
        <f t="shared" si="4"/>
        <v>0</v>
      </c>
      <c r="I40" s="32">
        <f t="shared" si="2"/>
        <v>0</v>
      </c>
      <c r="J40" s="32">
        <f t="shared" si="5"/>
        <v>0</v>
      </c>
      <c r="S40" s="36"/>
      <c r="T40" s="35"/>
      <c r="U40" s="5">
        <v>2052</v>
      </c>
      <c r="V40" s="35"/>
    </row>
    <row r="41" spans="1:22" x14ac:dyDescent="0.2">
      <c r="A41" s="29" t="str">
        <f>IF(MONTH(A40+1)=B8,A40+1,"")</f>
        <v/>
      </c>
      <c r="B41" s="14" t="str">
        <f t="shared" si="1"/>
        <v/>
      </c>
      <c r="C41" s="1"/>
      <c r="D41" s="1"/>
      <c r="E41" s="1"/>
      <c r="F41" s="30">
        <f>IFERROR(IF(E41&lt;&gt;"Feiertag",HLOOKUP(B41,K$4:Q$5,2,FALSE),"Feiertag"),0)</f>
        <v>0</v>
      </c>
      <c r="G41" s="31">
        <f t="shared" si="6"/>
        <v>0</v>
      </c>
      <c r="H41" s="31">
        <f t="shared" si="4"/>
        <v>0</v>
      </c>
      <c r="I41" s="32">
        <f t="shared" si="2"/>
        <v>0</v>
      </c>
      <c r="J41" s="32">
        <f>IF(A41="",J40+0,I41+J40)</f>
        <v>0</v>
      </c>
      <c r="S41" s="36"/>
      <c r="T41" s="35"/>
      <c r="U41" s="5">
        <v>2053</v>
      </c>
      <c r="V41" s="35"/>
    </row>
    <row r="42" spans="1:22" x14ac:dyDescent="0.2">
      <c r="A42" s="29" t="str">
        <f>IF(MONTH(A40+2)=B8,A40+2,"")</f>
        <v/>
      </c>
      <c r="B42" s="14" t="str">
        <f t="shared" si="1"/>
        <v/>
      </c>
      <c r="C42" s="2"/>
      <c r="D42" s="2"/>
      <c r="E42" s="1"/>
      <c r="F42" s="30">
        <f t="shared" si="0"/>
        <v>0</v>
      </c>
      <c r="G42" s="31">
        <f>IF(OR(E42="krank",E42="Urlaub"),F42,D42-C42)</f>
        <v>0</v>
      </c>
      <c r="H42" s="31">
        <f t="shared" si="4"/>
        <v>0</v>
      </c>
      <c r="I42" s="32">
        <f t="shared" si="2"/>
        <v>0</v>
      </c>
      <c r="J42" s="32">
        <f>IF(A42="",J41+0,I42+J41)</f>
        <v>0</v>
      </c>
      <c r="S42" s="38"/>
      <c r="T42" s="35"/>
      <c r="U42" s="5">
        <v>2054</v>
      </c>
      <c r="V42" s="35"/>
    </row>
    <row r="43" spans="1:22" x14ac:dyDescent="0.2">
      <c r="A43" s="29" t="str">
        <f>IF(MONTH(A40+3)=B8,A40+3,"")</f>
        <v/>
      </c>
      <c r="B43" s="14" t="str">
        <f>TEXT(A43,"TTT")</f>
        <v/>
      </c>
      <c r="C43" s="2"/>
      <c r="D43" s="2"/>
      <c r="E43" s="1"/>
      <c r="F43" s="30">
        <f t="shared" si="0"/>
        <v>0</v>
      </c>
      <c r="G43" s="31">
        <f t="shared" si="6"/>
        <v>0</v>
      </c>
      <c r="H43" s="31">
        <f t="shared" si="4"/>
        <v>0</v>
      </c>
      <c r="I43" s="32">
        <f t="shared" si="2"/>
        <v>0</v>
      </c>
      <c r="J43" s="32">
        <f>IF(A43="",J42+0,I43+J42)</f>
        <v>0</v>
      </c>
      <c r="S43" s="38"/>
      <c r="T43" s="35"/>
      <c r="U43" s="5">
        <v>2055</v>
      </c>
      <c r="V43" s="35"/>
    </row>
    <row r="44" spans="1:22" x14ac:dyDescent="0.2">
      <c r="A44" s="29"/>
      <c r="B44" s="14"/>
      <c r="C44" s="14"/>
      <c r="D44" s="14"/>
      <c r="E44" s="14"/>
      <c r="F44" s="30"/>
      <c r="G44" s="31"/>
      <c r="H44" s="31"/>
      <c r="I44" s="32"/>
      <c r="J44" s="32"/>
      <c r="S44" s="39"/>
      <c r="T44" s="5"/>
      <c r="U44" s="5">
        <v>2056</v>
      </c>
      <c r="V44" s="5"/>
    </row>
    <row r="45" spans="1:22" ht="15.75" x14ac:dyDescent="0.25">
      <c r="A45" s="40"/>
      <c r="B45" s="40"/>
      <c r="C45" s="40"/>
      <c r="D45" s="40" t="s">
        <v>13</v>
      </c>
      <c r="E45" s="41">
        <f>COUNTIF(E$13:E$43,D45)</f>
        <v>0</v>
      </c>
      <c r="F45" s="42" t="s">
        <v>7</v>
      </c>
      <c r="G45" s="43" t="s">
        <v>28</v>
      </c>
      <c r="H45" s="26" t="s">
        <v>8</v>
      </c>
      <c r="I45" s="43"/>
      <c r="J45" s="44" t="s">
        <v>10</v>
      </c>
      <c r="S45" s="5"/>
      <c r="T45" s="5"/>
      <c r="U45" s="5">
        <v>2057</v>
      </c>
      <c r="V45" s="5"/>
    </row>
    <row r="46" spans="1:22" ht="15.75" x14ac:dyDescent="0.25">
      <c r="A46" s="40"/>
      <c r="B46" s="14"/>
      <c r="C46" s="14"/>
      <c r="D46" s="40" t="s">
        <v>11</v>
      </c>
      <c r="E46" s="41">
        <f>COUNTIF(E$13:E$43,D46)</f>
        <v>0</v>
      </c>
      <c r="F46" s="45">
        <f>SUM(F13:F43)*24</f>
        <v>0</v>
      </c>
      <c r="G46" s="45">
        <f>SUM(G13:G43)*24</f>
        <v>0</v>
      </c>
      <c r="H46" s="45">
        <f>SUM(H13:H43)*24</f>
        <v>0</v>
      </c>
      <c r="I46" s="45"/>
      <c r="J46" s="44">
        <f>J43</f>
        <v>0</v>
      </c>
      <c r="S46" s="5"/>
      <c r="T46" s="5"/>
      <c r="U46" s="5">
        <v>2058</v>
      </c>
      <c r="V46" s="5"/>
    </row>
    <row r="47" spans="1:22" x14ac:dyDescent="0.2">
      <c r="S47" s="5"/>
      <c r="T47" s="5"/>
      <c r="U47" s="5">
        <v>2059</v>
      </c>
      <c r="V47" s="5"/>
    </row>
    <row r="48" spans="1:22" ht="15.75" x14ac:dyDescent="0.25">
      <c r="D48" s="46"/>
      <c r="G48" s="47"/>
      <c r="H48" s="48"/>
      <c r="I48" s="21"/>
      <c r="S48" s="5"/>
      <c r="T48" s="5"/>
      <c r="U48" s="5">
        <v>2060</v>
      </c>
      <c r="V48" s="5"/>
    </row>
    <row r="49" spans="1:17" x14ac:dyDescent="0.2">
      <c r="A49" s="8" t="s">
        <v>22</v>
      </c>
      <c r="B49" s="51"/>
      <c r="C49" s="52"/>
      <c r="D49" s="52"/>
      <c r="E49" s="52"/>
      <c r="F49" s="52"/>
      <c r="G49" s="4"/>
      <c r="H49" s="4"/>
      <c r="I49" s="4"/>
      <c r="J49" s="51" t="s">
        <v>23</v>
      </c>
      <c r="K49" s="53"/>
      <c r="L49" s="54"/>
      <c r="M49" s="54"/>
      <c r="N49" s="54"/>
      <c r="O49" s="52"/>
      <c r="P49" s="52"/>
      <c r="Q49" s="52"/>
    </row>
    <row r="50" spans="1:17" x14ac:dyDescent="0.2">
      <c r="G50" s="49"/>
      <c r="H50" s="48"/>
      <c r="I50" s="50"/>
    </row>
    <row r="51" spans="1:17" ht="15.75" x14ac:dyDescent="0.25">
      <c r="G51" s="17"/>
      <c r="H51" s="18"/>
      <c r="I51" s="18"/>
    </row>
  </sheetData>
  <sheetProtection algorithmName="SHA-512" hashValue="X/Tnkc4R6x4p+LGLZ3pqHGPl9vmHJyhlLvLGYeuYCqMNYrj4rd4D5PvU1k+upKP/T17+KQ3YXdnLG+7A02c5mw==" saltValue="5d0OMATgVw+HmFKftY/L4A==" spinCount="100000" sheet="1" objects="1" scenarios="1" selectLockedCells="1"/>
  <mergeCells count="3">
    <mergeCell ref="L11:Q11"/>
    <mergeCell ref="C4:E4"/>
    <mergeCell ref="C6:E6"/>
  </mergeCells>
  <conditionalFormatting sqref="F13:I44">
    <cfRule type="cellIs" dxfId="4" priority="5" operator="equal">
      <formula>0</formula>
    </cfRule>
  </conditionalFormatting>
  <conditionalFormatting sqref="K5:R5">
    <cfRule type="cellIs" dxfId="3" priority="4" operator="equal">
      <formula>0</formula>
    </cfRule>
  </conditionalFormatting>
  <conditionalFormatting sqref="F13:I43">
    <cfRule type="cellIs" dxfId="2" priority="3" operator="equal">
      <formula>0</formula>
    </cfRule>
  </conditionalFormatting>
  <conditionalFormatting sqref="K5:O5">
    <cfRule type="cellIs" dxfId="1" priority="2" operator="equal">
      <formula>0</formula>
    </cfRule>
  </conditionalFormatting>
  <conditionalFormatting sqref="R5">
    <cfRule type="cellIs" dxfId="0" priority="1" operator="equal">
      <formula>0</formula>
    </cfRule>
  </conditionalFormatting>
  <dataValidations count="3">
    <dataValidation type="list" allowBlank="1" showInputMessage="1" showErrorMessage="1" sqref="B8" xr:uid="{01197D93-A46F-4423-A672-A022DC5F5D16}">
      <formula1>$V$13:$V$24</formula1>
    </dataValidation>
    <dataValidation type="list" allowBlank="1" showInputMessage="1" showErrorMessage="1" sqref="B10" xr:uid="{33DE3CBC-C6C1-4649-A914-87A8FFD3B671}">
      <formula1>$U$13:$U$48</formula1>
    </dataValidation>
    <dataValidation type="list" allowBlank="1" showInputMessage="1" showErrorMessage="1" sqref="E13:E43" xr:uid="{47731322-B0CC-4890-B927-F66A2B60FE1E}">
      <formula1>$T$13:$T$16</formula1>
    </dataValidation>
  </dataValidations>
  <pageMargins left="0.7" right="0.7" top="0.78740157499999996" bottom="0.78740157499999996" header="0.3" footer="0.3"/>
  <pageSetup paperSize="9" scale="58"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Information</vt:lpstr>
      <vt:lpstr>Erfassung der Arbeitszeit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Joachim Schultes</dc:creator>
  <cp:lastModifiedBy>Granger, Marvin</cp:lastModifiedBy>
  <cp:lastPrinted>2026-02-24T10:40:11Z</cp:lastPrinted>
  <dcterms:created xsi:type="dcterms:W3CDTF">2025-05-23T07:55:57Z</dcterms:created>
  <dcterms:modified xsi:type="dcterms:W3CDTF">2026-02-24T10:42:51Z</dcterms:modified>
</cp:coreProperties>
</file>